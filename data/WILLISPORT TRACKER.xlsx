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 Y N N\Desktop\"/>
    </mc:Choice>
  </mc:AlternateContent>
  <xr:revisionPtr revIDLastSave="0" documentId="13_ncr:1_{4CA3EE58-E74C-4140-94B1-02E2B2C1EE65}" xr6:coauthVersionLast="47" xr6:coauthVersionMax="47" xr10:uidLastSave="{00000000-0000-0000-0000-000000000000}"/>
  <bookViews>
    <workbookView xWindow="-108" yWindow="-108" windowWidth="23256" windowHeight="13896" activeTab="1" xr2:uid="{139BBFCC-295C-4A23-B572-738F50CB589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44" i="2" l="1"/>
  <c r="T438" i="2"/>
  <c r="T439" i="2"/>
  <c r="T440" i="2"/>
  <c r="T441" i="2"/>
  <c r="T442" i="2"/>
  <c r="T443" i="2"/>
  <c r="J436" i="2"/>
  <c r="J437" i="2"/>
  <c r="J438" i="2"/>
  <c r="J439" i="2"/>
  <c r="J440" i="2"/>
  <c r="J441" i="2"/>
  <c r="J442" i="2"/>
  <c r="J443" i="2"/>
  <c r="I436" i="2"/>
  <c r="I437" i="2"/>
  <c r="I438" i="2"/>
  <c r="I439" i="2"/>
  <c r="I440" i="2"/>
  <c r="I441" i="2"/>
  <c r="I442" i="2"/>
  <c r="I443" i="2"/>
  <c r="J431" i="2"/>
  <c r="J432" i="2"/>
  <c r="J433" i="2"/>
  <c r="T433" i="2" s="1"/>
  <c r="J434" i="2"/>
  <c r="T434" i="2" s="1"/>
  <c r="J435" i="2"/>
  <c r="I431" i="2"/>
  <c r="I432" i="2"/>
  <c r="I433" i="2"/>
  <c r="I434" i="2"/>
  <c r="I435" i="2"/>
  <c r="T435" i="2" s="1"/>
  <c r="T437" i="2"/>
  <c r="T436" i="2"/>
  <c r="T432" i="2"/>
  <c r="T431" i="2"/>
  <c r="J430" i="2"/>
  <c r="I430" i="2"/>
  <c r="T430" i="2"/>
  <c r="I384" i="2"/>
  <c r="J384" i="2" s="1"/>
  <c r="T384" i="2" s="1"/>
  <c r="I385" i="2"/>
  <c r="J385" i="2"/>
  <c r="T385" i="2"/>
  <c r="I386" i="2"/>
  <c r="J386" i="2"/>
  <c r="T386" i="2"/>
  <c r="I387" i="2"/>
  <c r="J387" i="2"/>
  <c r="T387" i="2"/>
  <c r="I388" i="2"/>
  <c r="J388" i="2" s="1"/>
  <c r="T388" i="2" s="1"/>
  <c r="I389" i="2"/>
  <c r="J389" i="2"/>
  <c r="T389" i="2"/>
  <c r="I390" i="2"/>
  <c r="J390" i="2"/>
  <c r="T390" i="2"/>
  <c r="I391" i="2"/>
  <c r="J391" i="2"/>
  <c r="T391" i="2"/>
  <c r="I392" i="2"/>
  <c r="J392" i="2" s="1"/>
  <c r="T392" i="2" s="1"/>
  <c r="I393" i="2"/>
  <c r="J393" i="2"/>
  <c r="T393" i="2"/>
  <c r="I394" i="2"/>
  <c r="J394" i="2"/>
  <c r="T394" i="2"/>
  <c r="I395" i="2"/>
  <c r="J395" i="2"/>
  <c r="T395" i="2"/>
  <c r="I396" i="2"/>
  <c r="J396" i="2" s="1"/>
  <c r="T396" i="2" s="1"/>
  <c r="I397" i="2"/>
  <c r="J397" i="2"/>
  <c r="T397" i="2"/>
  <c r="I398" i="2"/>
  <c r="J398" i="2"/>
  <c r="T398" i="2"/>
  <c r="I399" i="2"/>
  <c r="J399" i="2"/>
  <c r="T399" i="2"/>
  <c r="I400" i="2"/>
  <c r="J400" i="2" s="1"/>
  <c r="T400" i="2" s="1"/>
  <c r="I401" i="2"/>
  <c r="J401" i="2"/>
  <c r="T401" i="2"/>
  <c r="I410" i="2"/>
  <c r="I411" i="2"/>
  <c r="I412" i="2"/>
  <c r="I413" i="2"/>
  <c r="J413" i="2" s="1"/>
  <c r="T413" i="2" s="1"/>
  <c r="I414" i="2"/>
  <c r="I415" i="2"/>
  <c r="I416" i="2"/>
  <c r="I417" i="2"/>
  <c r="I418" i="2"/>
  <c r="I419" i="2"/>
  <c r="I420" i="2"/>
  <c r="I421" i="2"/>
  <c r="J421" i="2" s="1"/>
  <c r="T421" i="2" s="1"/>
  <c r="I422" i="2"/>
  <c r="I423" i="2"/>
  <c r="I424" i="2"/>
  <c r="I425" i="2"/>
  <c r="J425" i="2" s="1"/>
  <c r="T425" i="2" s="1"/>
  <c r="I426" i="2"/>
  <c r="I427" i="2"/>
  <c r="I428" i="2"/>
  <c r="I429" i="2"/>
  <c r="J405" i="2"/>
  <c r="J406" i="2"/>
  <c r="J407" i="2"/>
  <c r="J408" i="2"/>
  <c r="J409" i="2"/>
  <c r="J410" i="2"/>
  <c r="J411" i="2"/>
  <c r="J412" i="2"/>
  <c r="J414" i="2"/>
  <c r="J415" i="2"/>
  <c r="J416" i="2"/>
  <c r="J417" i="2"/>
  <c r="T417" i="2" s="1"/>
  <c r="J418" i="2"/>
  <c r="T418" i="2" s="1"/>
  <c r="J419" i="2"/>
  <c r="J420" i="2"/>
  <c r="T420" i="2" s="1"/>
  <c r="J422" i="2"/>
  <c r="J423" i="2"/>
  <c r="J424" i="2"/>
  <c r="T424" i="2" s="1"/>
  <c r="J426" i="2"/>
  <c r="T426" i="2" s="1"/>
  <c r="J427" i="2"/>
  <c r="J428" i="2"/>
  <c r="J429" i="2"/>
  <c r="T429" i="2" s="1"/>
  <c r="I404" i="2"/>
  <c r="I405" i="2"/>
  <c r="I406" i="2"/>
  <c r="I407" i="2"/>
  <c r="I408" i="2"/>
  <c r="I409" i="2"/>
  <c r="J402" i="2"/>
  <c r="T402" i="2" s="1"/>
  <c r="J403" i="2"/>
  <c r="J404" i="2"/>
  <c r="J383" i="2"/>
  <c r="I383" i="2"/>
  <c r="I402" i="2"/>
  <c r="I403" i="2"/>
  <c r="T423" i="2"/>
  <c r="T415" i="2"/>
  <c r="T414" i="2"/>
  <c r="T412" i="2"/>
  <c r="T410" i="2"/>
  <c r="T409" i="2"/>
  <c r="T408" i="2"/>
  <c r="T407" i="2"/>
  <c r="T406" i="2"/>
  <c r="T405" i="2"/>
  <c r="T403" i="2"/>
  <c r="T383" i="2"/>
  <c r="I327" i="2"/>
  <c r="J327" i="2" s="1"/>
  <c r="T327" i="2" s="1"/>
  <c r="I176" i="2"/>
  <c r="J176" i="2" s="1"/>
  <c r="I323" i="2"/>
  <c r="J323" i="2" s="1"/>
  <c r="T323" i="2" s="1"/>
  <c r="I319" i="2"/>
  <c r="J319" i="2" s="1"/>
  <c r="T319" i="2" s="1"/>
  <c r="I328" i="2"/>
  <c r="J328" i="2" s="1"/>
  <c r="T328" i="2" s="1"/>
  <c r="I329" i="2"/>
  <c r="J329" i="2" s="1"/>
  <c r="T329" i="2" s="1"/>
  <c r="I330" i="2"/>
  <c r="J330" i="2" s="1"/>
  <c r="T330" i="2" s="1"/>
  <c r="I331" i="2"/>
  <c r="J331" i="2" s="1"/>
  <c r="T331" i="2" s="1"/>
  <c r="I332" i="2"/>
  <c r="J332" i="2" s="1"/>
  <c r="T332" i="2" s="1"/>
  <c r="I333" i="2"/>
  <c r="J333" i="2" s="1"/>
  <c r="T333" i="2" s="1"/>
  <c r="I334" i="2"/>
  <c r="J334" i="2" s="1"/>
  <c r="T334" i="2" s="1"/>
  <c r="I335" i="2"/>
  <c r="J335" i="2" s="1"/>
  <c r="T335" i="2" s="1"/>
  <c r="I336" i="2"/>
  <c r="J336" i="2" s="1"/>
  <c r="T336" i="2" s="1"/>
  <c r="I337" i="2"/>
  <c r="J337" i="2" s="1"/>
  <c r="T337" i="2" s="1"/>
  <c r="I338" i="2"/>
  <c r="J338" i="2" s="1"/>
  <c r="T338" i="2" s="1"/>
  <c r="I339" i="2"/>
  <c r="J339" i="2" s="1"/>
  <c r="T339" i="2" s="1"/>
  <c r="I340" i="2"/>
  <c r="J340" i="2" s="1"/>
  <c r="T340" i="2" s="1"/>
  <c r="I341" i="2"/>
  <c r="J341" i="2" s="1"/>
  <c r="T341" i="2" s="1"/>
  <c r="I342" i="2"/>
  <c r="J342" i="2" s="1"/>
  <c r="T342" i="2" s="1"/>
  <c r="I343" i="2"/>
  <c r="J343" i="2" s="1"/>
  <c r="T343" i="2" s="1"/>
  <c r="I344" i="2"/>
  <c r="J344" i="2" s="1"/>
  <c r="T344" i="2" s="1"/>
  <c r="I345" i="2"/>
  <c r="J345" i="2" s="1"/>
  <c r="T345" i="2" s="1"/>
  <c r="I346" i="2"/>
  <c r="J346" i="2" s="1"/>
  <c r="T346" i="2" s="1"/>
  <c r="I347" i="2"/>
  <c r="J347" i="2" s="1"/>
  <c r="T347" i="2" s="1"/>
  <c r="I348" i="2"/>
  <c r="J348" i="2" s="1"/>
  <c r="T348" i="2" s="1"/>
  <c r="I349" i="2"/>
  <c r="J349" i="2" s="1"/>
  <c r="T349" i="2" s="1"/>
  <c r="I350" i="2"/>
  <c r="J350" i="2" s="1"/>
  <c r="T350" i="2" s="1"/>
  <c r="I351" i="2"/>
  <c r="J351" i="2" s="1"/>
  <c r="T351" i="2" s="1"/>
  <c r="I352" i="2"/>
  <c r="J352" i="2" s="1"/>
  <c r="T352" i="2" s="1"/>
  <c r="I353" i="2"/>
  <c r="J353" i="2" s="1"/>
  <c r="T353" i="2" s="1"/>
  <c r="I354" i="2"/>
  <c r="J354" i="2" s="1"/>
  <c r="T354" i="2" s="1"/>
  <c r="I355" i="2"/>
  <c r="J355" i="2" s="1"/>
  <c r="T355" i="2" s="1"/>
  <c r="I356" i="2"/>
  <c r="J356" i="2" s="1"/>
  <c r="T356" i="2" s="1"/>
  <c r="I357" i="2"/>
  <c r="J357" i="2" s="1"/>
  <c r="T357" i="2" s="1"/>
  <c r="I358" i="2"/>
  <c r="J358" i="2" s="1"/>
  <c r="T358" i="2" s="1"/>
  <c r="I359" i="2"/>
  <c r="J359" i="2" s="1"/>
  <c r="T359" i="2" s="1"/>
  <c r="I360" i="2"/>
  <c r="J360" i="2" s="1"/>
  <c r="T360" i="2" s="1"/>
  <c r="I361" i="2"/>
  <c r="J361" i="2" s="1"/>
  <c r="T361" i="2" s="1"/>
  <c r="I362" i="2"/>
  <c r="J362" i="2" s="1"/>
  <c r="T362" i="2" s="1"/>
  <c r="I363" i="2"/>
  <c r="J363" i="2" s="1"/>
  <c r="T363" i="2" s="1"/>
  <c r="I364" i="2"/>
  <c r="J364" i="2" s="1"/>
  <c r="T364" i="2" s="1"/>
  <c r="I365" i="2"/>
  <c r="J365" i="2" s="1"/>
  <c r="T365" i="2" s="1"/>
  <c r="I366" i="2"/>
  <c r="J366" i="2" s="1"/>
  <c r="T366" i="2" s="1"/>
  <c r="I367" i="2"/>
  <c r="J367" i="2" s="1"/>
  <c r="T367" i="2" s="1"/>
  <c r="I368" i="2"/>
  <c r="J368" i="2" s="1"/>
  <c r="T368" i="2" s="1"/>
  <c r="I369" i="2"/>
  <c r="J369" i="2" s="1"/>
  <c r="T369" i="2" s="1"/>
  <c r="I370" i="2"/>
  <c r="J370" i="2" s="1"/>
  <c r="T370" i="2" s="1"/>
  <c r="I382" i="2"/>
  <c r="J382" i="2" s="1"/>
  <c r="T382" i="2" s="1"/>
  <c r="I381" i="2"/>
  <c r="J381" i="2" s="1"/>
  <c r="T381" i="2" s="1"/>
  <c r="I380" i="2"/>
  <c r="J380" i="2" s="1"/>
  <c r="T380" i="2" s="1"/>
  <c r="I379" i="2"/>
  <c r="J379" i="2" s="1"/>
  <c r="T379" i="2" s="1"/>
  <c r="I378" i="2"/>
  <c r="J378" i="2" s="1"/>
  <c r="T378" i="2" s="1"/>
  <c r="I377" i="2"/>
  <c r="J377" i="2" s="1"/>
  <c r="T377" i="2" s="1"/>
  <c r="I376" i="2"/>
  <c r="J376" i="2" s="1"/>
  <c r="T376" i="2" s="1"/>
  <c r="I375" i="2"/>
  <c r="J375" i="2" s="1"/>
  <c r="T375" i="2" s="1"/>
  <c r="I374" i="2"/>
  <c r="J374" i="2" s="1"/>
  <c r="T374" i="2" s="1"/>
  <c r="I373" i="2"/>
  <c r="J373" i="2" s="1"/>
  <c r="T373" i="2" s="1"/>
  <c r="I372" i="2"/>
  <c r="J372" i="2" s="1"/>
  <c r="T372" i="2" s="1"/>
  <c r="I371" i="2"/>
  <c r="J371" i="2" s="1"/>
  <c r="T371" i="2" s="1"/>
  <c r="I313" i="2"/>
  <c r="J313" i="2" s="1"/>
  <c r="T313" i="2" s="1"/>
  <c r="I314" i="2"/>
  <c r="J314" i="2" s="1"/>
  <c r="T314" i="2" s="1"/>
  <c r="I315" i="2"/>
  <c r="J315" i="2" s="1"/>
  <c r="T315" i="2" s="1"/>
  <c r="I316" i="2"/>
  <c r="J316" i="2" s="1"/>
  <c r="T316" i="2" s="1"/>
  <c r="I317" i="2"/>
  <c r="J317" i="2" s="1"/>
  <c r="T317" i="2" s="1"/>
  <c r="I318" i="2"/>
  <c r="J318" i="2" s="1"/>
  <c r="T318" i="2" s="1"/>
  <c r="I320" i="2"/>
  <c r="J320" i="2" s="1"/>
  <c r="T320" i="2" s="1"/>
  <c r="I321" i="2"/>
  <c r="J321" i="2" s="1"/>
  <c r="T321" i="2" s="1"/>
  <c r="I322" i="2"/>
  <c r="J322" i="2" s="1"/>
  <c r="T322" i="2" s="1"/>
  <c r="I324" i="2"/>
  <c r="J324" i="2" s="1"/>
  <c r="T324" i="2" s="1"/>
  <c r="I325" i="2"/>
  <c r="J325" i="2" s="1"/>
  <c r="T325" i="2" s="1"/>
  <c r="I326" i="2"/>
  <c r="J326" i="2" s="1"/>
  <c r="T326" i="2" s="1"/>
  <c r="I311" i="2"/>
  <c r="J311" i="2" s="1"/>
  <c r="T311" i="2" s="1"/>
  <c r="I312" i="2"/>
  <c r="J312" i="2" s="1"/>
  <c r="T312" i="2" s="1"/>
  <c r="I304" i="2"/>
  <c r="J304" i="2" s="1"/>
  <c r="T304" i="2" s="1"/>
  <c r="I305" i="2"/>
  <c r="J305" i="2" s="1"/>
  <c r="T305" i="2" s="1"/>
  <c r="I306" i="2"/>
  <c r="J306" i="2" s="1"/>
  <c r="T306" i="2" s="1"/>
  <c r="I307" i="2"/>
  <c r="J307" i="2" s="1"/>
  <c r="T307" i="2" s="1"/>
  <c r="I308" i="2"/>
  <c r="J308" i="2" s="1"/>
  <c r="T308" i="2" s="1"/>
  <c r="I309" i="2"/>
  <c r="J309" i="2" s="1"/>
  <c r="T309" i="2" s="1"/>
  <c r="I310" i="2"/>
  <c r="J310" i="2" s="1"/>
  <c r="T310" i="2" s="1"/>
  <c r="I299" i="2"/>
  <c r="J299" i="2" s="1"/>
  <c r="T299" i="2" s="1"/>
  <c r="I300" i="2"/>
  <c r="J300" i="2" s="1"/>
  <c r="T300" i="2" s="1"/>
  <c r="I301" i="2"/>
  <c r="J301" i="2" s="1"/>
  <c r="T301" i="2" s="1"/>
  <c r="I302" i="2"/>
  <c r="J302" i="2" s="1"/>
  <c r="T302" i="2" s="1"/>
  <c r="I303" i="2"/>
  <c r="J303" i="2" s="1"/>
  <c r="T303" i="2" s="1"/>
  <c r="I280" i="2"/>
  <c r="J280" i="2" s="1"/>
  <c r="T280" i="2" s="1"/>
  <c r="I281" i="2"/>
  <c r="J281" i="2" s="1"/>
  <c r="T281" i="2" s="1"/>
  <c r="I282" i="2"/>
  <c r="J282" i="2" s="1"/>
  <c r="T282" i="2" s="1"/>
  <c r="I283" i="2"/>
  <c r="J283" i="2" s="1"/>
  <c r="T283" i="2" s="1"/>
  <c r="I284" i="2"/>
  <c r="J284" i="2" s="1"/>
  <c r="T284" i="2" s="1"/>
  <c r="I285" i="2"/>
  <c r="J285" i="2" s="1"/>
  <c r="T285" i="2" s="1"/>
  <c r="I286" i="2"/>
  <c r="J286" i="2" s="1"/>
  <c r="T286" i="2" s="1"/>
  <c r="I287" i="2"/>
  <c r="J287" i="2" s="1"/>
  <c r="T287" i="2" s="1"/>
  <c r="I288" i="2"/>
  <c r="J288" i="2" s="1"/>
  <c r="T288" i="2" s="1"/>
  <c r="I289" i="2"/>
  <c r="J289" i="2" s="1"/>
  <c r="T289" i="2" s="1"/>
  <c r="I290" i="2"/>
  <c r="J290" i="2" s="1"/>
  <c r="T290" i="2" s="1"/>
  <c r="I291" i="2"/>
  <c r="J291" i="2" s="1"/>
  <c r="T291" i="2" s="1"/>
  <c r="I292" i="2"/>
  <c r="J292" i="2" s="1"/>
  <c r="T292" i="2" s="1"/>
  <c r="I293" i="2"/>
  <c r="J293" i="2" s="1"/>
  <c r="T293" i="2" s="1"/>
  <c r="I294" i="2"/>
  <c r="J294" i="2" s="1"/>
  <c r="T294" i="2" s="1"/>
  <c r="I295" i="2"/>
  <c r="J295" i="2" s="1"/>
  <c r="T295" i="2" s="1"/>
  <c r="I296" i="2"/>
  <c r="J296" i="2" s="1"/>
  <c r="T296" i="2" s="1"/>
  <c r="I297" i="2"/>
  <c r="J297" i="2" s="1"/>
  <c r="T297" i="2" s="1"/>
  <c r="I298" i="2"/>
  <c r="J298" i="2" s="1"/>
  <c r="T298" i="2" s="1"/>
  <c r="I279" i="2"/>
  <c r="J279" i="2" s="1"/>
  <c r="T279" i="2" s="1"/>
  <c r="I277" i="2"/>
  <c r="J277" i="2" s="1"/>
  <c r="T277" i="2" s="1"/>
  <c r="I278" i="2"/>
  <c r="J278" i="2" s="1"/>
  <c r="T278" i="2" s="1"/>
  <c r="I276" i="2"/>
  <c r="J276" i="2" s="1"/>
  <c r="T276" i="2" s="1"/>
  <c r="I275" i="2"/>
  <c r="J275" i="2" s="1"/>
  <c r="T275" i="2" s="1"/>
  <c r="I274" i="2"/>
  <c r="J274" i="2" s="1"/>
  <c r="T274" i="2" s="1"/>
  <c r="I273" i="2"/>
  <c r="J273" i="2" s="1"/>
  <c r="T273" i="2" s="1"/>
  <c r="I272" i="2"/>
  <c r="J272" i="2" s="1"/>
  <c r="T272" i="2" s="1"/>
  <c r="I271" i="2"/>
  <c r="J271" i="2" s="1"/>
  <c r="T271" i="2" s="1"/>
  <c r="I270" i="2"/>
  <c r="J270" i="2" s="1"/>
  <c r="T270" i="2" s="1"/>
  <c r="I269" i="2"/>
  <c r="J269" i="2" s="1"/>
  <c r="T269" i="2" s="1"/>
  <c r="I268" i="2"/>
  <c r="J268" i="2" s="1"/>
  <c r="T268" i="2" s="1"/>
  <c r="I267" i="2"/>
  <c r="J267" i="2" s="1"/>
  <c r="T267" i="2" s="1"/>
  <c r="I266" i="2"/>
  <c r="J266" i="2" s="1"/>
  <c r="T266" i="2" s="1"/>
  <c r="I265" i="2"/>
  <c r="J265" i="2" s="1"/>
  <c r="T265" i="2" s="1"/>
  <c r="I264" i="2"/>
  <c r="J264" i="2" s="1" a="1"/>
  <c r="J264" i="2" s="1"/>
  <c r="I263" i="2"/>
  <c r="J263" i="2" s="1"/>
  <c r="T263" i="2" s="1"/>
  <c r="I262" i="2"/>
  <c r="J262" i="2" s="1"/>
  <c r="T262" i="2" s="1"/>
  <c r="I261" i="2"/>
  <c r="J261" i="2" s="1"/>
  <c r="T261" i="2" s="1"/>
  <c r="I260" i="2"/>
  <c r="J260" i="2" s="1"/>
  <c r="T260" i="2" s="1"/>
  <c r="I259" i="2"/>
  <c r="J259" i="2" s="1"/>
  <c r="T259" i="2" s="1"/>
  <c r="I258" i="2"/>
  <c r="J258" i="2" s="1"/>
  <c r="T258" i="2" s="1"/>
  <c r="I257" i="2"/>
  <c r="J257" i="2" s="1"/>
  <c r="T257" i="2" s="1"/>
  <c r="I256" i="2"/>
  <c r="J256" i="2" s="1"/>
  <c r="T256" i="2" s="1"/>
  <c r="I255" i="2"/>
  <c r="J255" i="2" s="1"/>
  <c r="T255" i="2" s="1"/>
  <c r="I254" i="2"/>
  <c r="J254" i="2" s="1"/>
  <c r="T254" i="2" s="1"/>
  <c r="I253" i="2"/>
  <c r="J253" i="2" s="1"/>
  <c r="T253" i="2" s="1"/>
  <c r="I252" i="2"/>
  <c r="J252" i="2" s="1"/>
  <c r="T252" i="2" s="1"/>
  <c r="I251" i="2"/>
  <c r="J251" i="2" s="1"/>
  <c r="T251" i="2" s="1"/>
  <c r="I250" i="2"/>
  <c r="J250" i="2" s="1"/>
  <c r="T250" i="2" s="1"/>
  <c r="I247" i="2"/>
  <c r="J247" i="2" s="1"/>
  <c r="T247" i="2" s="1"/>
  <c r="I248" i="2"/>
  <c r="J248" i="2" s="1"/>
  <c r="T248" i="2" s="1"/>
  <c r="I249" i="2"/>
  <c r="J249" i="2" s="1"/>
  <c r="T249" i="2" s="1"/>
  <c r="I246" i="2"/>
  <c r="J246" i="2" s="1"/>
  <c r="T246" i="2" s="1"/>
  <c r="I245" i="2"/>
  <c r="J245" i="2" s="1"/>
  <c r="T245" i="2" s="1"/>
  <c r="I238" i="2"/>
  <c r="J238" i="2" s="1"/>
  <c r="T238" i="2" s="1"/>
  <c r="I239" i="2"/>
  <c r="J239" i="2" s="1"/>
  <c r="T239" i="2" s="1"/>
  <c r="I240" i="2"/>
  <c r="J240" i="2" s="1"/>
  <c r="T240" i="2" s="1"/>
  <c r="I241" i="2"/>
  <c r="J241" i="2" s="1"/>
  <c r="T241" i="2" s="1"/>
  <c r="I242" i="2"/>
  <c r="J242" i="2" s="1"/>
  <c r="T242" i="2" s="1"/>
  <c r="I243" i="2"/>
  <c r="J243" i="2" s="1"/>
  <c r="T243" i="2" s="1"/>
  <c r="I244" i="2"/>
  <c r="J244" i="2" s="1"/>
  <c r="T244" i="2" s="1"/>
  <c r="I236" i="2"/>
  <c r="J236" i="2" s="1"/>
  <c r="T236" i="2" s="1"/>
  <c r="I237" i="2"/>
  <c r="J237" i="2" s="1"/>
  <c r="T237" i="2" s="1"/>
  <c r="I226" i="2"/>
  <c r="J226" i="2" s="1"/>
  <c r="I227" i="2"/>
  <c r="J227" i="2" s="1"/>
  <c r="T227" i="2" s="1"/>
  <c r="I228" i="2"/>
  <c r="J228" i="2" s="1"/>
  <c r="I229" i="2"/>
  <c r="J229" i="2" s="1"/>
  <c r="I230" i="2"/>
  <c r="J230" i="2" s="1"/>
  <c r="T230" i="2" s="1"/>
  <c r="I231" i="2"/>
  <c r="J231" i="2" s="1"/>
  <c r="T231" i="2" s="1"/>
  <c r="I232" i="2"/>
  <c r="J232" i="2" s="1"/>
  <c r="I233" i="2"/>
  <c r="J233" i="2" s="1"/>
  <c r="T233" i="2" s="1"/>
  <c r="I234" i="2"/>
  <c r="J234" i="2" s="1"/>
  <c r="T234" i="2" s="1"/>
  <c r="I235" i="2"/>
  <c r="J235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4" i="2"/>
  <c r="J194" i="2" s="1"/>
  <c r="I180" i="2"/>
  <c r="J180" i="2" s="1"/>
  <c r="I181" i="2"/>
  <c r="J181" i="2" s="1"/>
  <c r="I182" i="2"/>
  <c r="J182" i="2" s="1"/>
  <c r="I183" i="2"/>
  <c r="J183" i="2" s="1"/>
  <c r="I184" i="2"/>
  <c r="J184" i="2" s="1"/>
  <c r="U184" i="2" s="1"/>
  <c r="I185" i="2"/>
  <c r="J185" i="2" s="1"/>
  <c r="U185" i="2" s="1"/>
  <c r="I186" i="2"/>
  <c r="J186" i="2" s="1"/>
  <c r="I187" i="2"/>
  <c r="J187" i="2" s="1"/>
  <c r="I188" i="2"/>
  <c r="J188" i="2" s="1"/>
  <c r="I189" i="2"/>
  <c r="J189" i="2" s="1"/>
  <c r="I190" i="2"/>
  <c r="J190" i="2" s="1"/>
  <c r="I191" i="2"/>
  <c r="J191" i="2" s="1"/>
  <c r="I192" i="2"/>
  <c r="J192" i="2" s="1"/>
  <c r="I193" i="2"/>
  <c r="J193" i="2" s="1"/>
  <c r="I179" i="2"/>
  <c r="J179" i="2" s="1"/>
  <c r="I157" i="2"/>
  <c r="J157" i="2" s="1"/>
  <c r="I158" i="2"/>
  <c r="J158" i="2" s="1"/>
  <c r="I159" i="2"/>
  <c r="J159" i="2" s="1"/>
  <c r="I160" i="2"/>
  <c r="J160" i="2" s="1"/>
  <c r="I161" i="2"/>
  <c r="J161" i="2" s="1"/>
  <c r="I162" i="2"/>
  <c r="J162" i="2" s="1"/>
  <c r="I163" i="2"/>
  <c r="J163" i="2" s="1"/>
  <c r="I164" i="2"/>
  <c r="J164" i="2" s="1"/>
  <c r="I165" i="2"/>
  <c r="J165" i="2" s="1"/>
  <c r="I166" i="2"/>
  <c r="J166" i="2" s="1"/>
  <c r="I167" i="2"/>
  <c r="J167" i="2" s="1"/>
  <c r="I168" i="2"/>
  <c r="J168" i="2" s="1"/>
  <c r="I169" i="2"/>
  <c r="J169" i="2" s="1"/>
  <c r="I170" i="2"/>
  <c r="J170" i="2" s="1"/>
  <c r="I171" i="2"/>
  <c r="J171" i="2" s="1"/>
  <c r="I172" i="2"/>
  <c r="J172" i="2" s="1"/>
  <c r="I173" i="2"/>
  <c r="J173" i="2" s="1"/>
  <c r="I174" i="2"/>
  <c r="J174" i="2" s="1"/>
  <c r="I175" i="2"/>
  <c r="J175" i="2" s="1"/>
  <c r="I177" i="2"/>
  <c r="J177" i="2" s="1"/>
  <c r="I178" i="2"/>
  <c r="J178" i="2" s="1"/>
  <c r="I156" i="2"/>
  <c r="J156" i="2" s="1"/>
  <c r="I155" i="2"/>
  <c r="J155" i="2" s="1"/>
  <c r="I154" i="2"/>
  <c r="J154" i="2" s="1"/>
  <c r="T154" i="2" s="1"/>
  <c r="I153" i="2"/>
  <c r="J153" i="2" s="1"/>
  <c r="I152" i="2"/>
  <c r="J152" i="2" s="1"/>
  <c r="I150" i="2"/>
  <c r="J150" i="2" s="1"/>
  <c r="I151" i="2"/>
  <c r="J151" i="2" s="1"/>
  <c r="I149" i="2"/>
  <c r="J149" i="2" s="1"/>
  <c r="I148" i="2"/>
  <c r="J148" i="2" s="1"/>
  <c r="T148" i="2" s="1"/>
  <c r="I147" i="2"/>
  <c r="J147" i="2" s="1"/>
  <c r="I146" i="2"/>
  <c r="J146" i="2" s="1"/>
  <c r="I144" i="2"/>
  <c r="J144" i="2" s="1"/>
  <c r="U144" i="2" s="1"/>
  <c r="I145" i="2"/>
  <c r="J145" i="2" s="1"/>
  <c r="I143" i="2"/>
  <c r="J143" i="2" s="1"/>
  <c r="T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6" i="2"/>
  <c r="J136" i="2" s="1"/>
  <c r="I137" i="2"/>
  <c r="J137" i="2" s="1"/>
  <c r="T137" i="2" s="1"/>
  <c r="I135" i="2"/>
  <c r="J135" i="2" s="1"/>
  <c r="T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8" i="2"/>
  <c r="J128" i="2" s="1"/>
  <c r="I129" i="2"/>
  <c r="J129" i="2" s="1"/>
  <c r="I127" i="2"/>
  <c r="J127" i="2" s="1"/>
  <c r="U127" i="2" s="1"/>
  <c r="I126" i="2"/>
  <c r="J126" i="2" s="1"/>
  <c r="U126" i="2" s="1"/>
  <c r="I125" i="2"/>
  <c r="J125" i="2" s="1"/>
  <c r="T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0" i="2"/>
  <c r="J110" i="2" s="1"/>
  <c r="I111" i="2"/>
  <c r="J111" i="2" s="1"/>
  <c r="I112" i="2"/>
  <c r="J112" i="2" s="1"/>
  <c r="I113" i="2"/>
  <c r="J113" i="2" s="1"/>
  <c r="I114" i="2"/>
  <c r="J114" i="2" s="1"/>
  <c r="U114" i="2" s="1"/>
  <c r="I115" i="2"/>
  <c r="J115" i="2" s="1"/>
  <c r="U115" i="2" s="1"/>
  <c r="I116" i="2"/>
  <c r="J116" i="2" s="1"/>
  <c r="I117" i="2"/>
  <c r="J117" i="2" s="1"/>
  <c r="I118" i="2"/>
  <c r="J118" i="2" s="1"/>
  <c r="I119" i="2"/>
  <c r="J119" i="2" s="1"/>
  <c r="I109" i="2"/>
  <c r="J109" i="2" s="1"/>
  <c r="I108" i="2"/>
  <c r="J108" i="2" s="1"/>
  <c r="I105" i="2"/>
  <c r="J105" i="2" s="1"/>
  <c r="I106" i="2"/>
  <c r="J106" i="2" s="1"/>
  <c r="I107" i="2"/>
  <c r="J107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10" i="2"/>
  <c r="J10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T71" i="2" s="1"/>
  <c r="I70" i="2"/>
  <c r="J70" i="2" s="1"/>
  <c r="I69" i="2"/>
  <c r="J69" i="2" s="1"/>
  <c r="I66" i="2"/>
  <c r="J66" i="2" s="1"/>
  <c r="I68" i="2"/>
  <c r="J68" i="2" s="1"/>
  <c r="I67" i="2"/>
  <c r="J67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3" i="2"/>
  <c r="J3" i="2" s="1"/>
  <c r="I4" i="2"/>
  <c r="J4" i="2" s="1"/>
  <c r="T4" i="2" s="1"/>
  <c r="I5" i="2"/>
  <c r="J5" i="2" s="1"/>
  <c r="T5" i="2" s="1"/>
  <c r="I6" i="2"/>
  <c r="J6" i="2" s="1"/>
  <c r="T6" i="2" s="1"/>
  <c r="I7" i="2"/>
  <c r="J7" i="2" s="1"/>
  <c r="T7" i="2" s="1"/>
  <c r="I8" i="2"/>
  <c r="J8" i="2" s="1"/>
  <c r="T8" i="2" s="1"/>
  <c r="I9" i="2"/>
  <c r="J9" i="2" s="1"/>
  <c r="T9" i="2" s="1"/>
  <c r="I11" i="2"/>
  <c r="J11" i="2" s="1"/>
  <c r="T11" i="2" s="1"/>
  <c r="I12" i="2"/>
  <c r="J12" i="2" s="1"/>
  <c r="T12" i="2" s="1"/>
  <c r="I13" i="2"/>
  <c r="J13" i="2" s="1"/>
  <c r="T13" i="2" s="1"/>
  <c r="I14" i="2"/>
  <c r="J14" i="2" s="1"/>
  <c r="U14" i="2" s="1"/>
  <c r="I15" i="2"/>
  <c r="J15" i="2" s="1"/>
  <c r="U15" i="2" s="1"/>
  <c r="I16" i="2"/>
  <c r="J16" i="2" s="1"/>
  <c r="U16" i="2" s="1"/>
  <c r="I17" i="2"/>
  <c r="J17" i="2" s="1"/>
  <c r="T17" i="2" s="1"/>
  <c r="I18" i="2"/>
  <c r="J18" i="2" s="1"/>
  <c r="T18" i="2" s="1"/>
  <c r="I19" i="2"/>
  <c r="J19" i="2" s="1"/>
  <c r="I20" i="2"/>
  <c r="J20" i="2" s="1"/>
  <c r="T20" i="2" s="1"/>
  <c r="I21" i="2"/>
  <c r="J21" i="2" s="1"/>
  <c r="T21" i="2" s="1"/>
  <c r="I22" i="2"/>
  <c r="J22" i="2" s="1"/>
  <c r="I23" i="2"/>
  <c r="J23" i="2" s="1"/>
  <c r="T23" i="2" s="1"/>
  <c r="I24" i="2"/>
  <c r="J24" i="2" s="1"/>
  <c r="I25" i="2"/>
  <c r="J25" i="2" s="1"/>
  <c r="U25" i="2" s="1"/>
  <c r="I26" i="2"/>
  <c r="J26" i="2" s="1"/>
  <c r="U26" i="2" s="1"/>
  <c r="I27" i="2"/>
  <c r="J27" i="2" s="1"/>
  <c r="I28" i="2"/>
  <c r="J28" i="2" s="1"/>
  <c r="U28" i="2" s="1"/>
  <c r="I29" i="2"/>
  <c r="J29" i="2" s="1"/>
  <c r="I30" i="2"/>
  <c r="J30" i="2" s="1"/>
  <c r="U30" i="2" s="1"/>
  <c r="I31" i="2"/>
  <c r="J31" i="2" s="1"/>
  <c r="U31" i="2" s="1"/>
  <c r="I32" i="2"/>
  <c r="J32" i="2" s="1"/>
  <c r="I33" i="2"/>
  <c r="J33" i="2" s="1"/>
  <c r="U33" i="2" s="1"/>
  <c r="I34" i="2"/>
  <c r="J34" i="2" s="1"/>
  <c r="U34" i="2" s="1"/>
  <c r="I35" i="2"/>
  <c r="J35" i="2" s="1"/>
  <c r="U35" i="2" s="1"/>
  <c r="I36" i="2"/>
  <c r="J36" i="2" s="1"/>
  <c r="I37" i="2"/>
  <c r="J37" i="2" s="1"/>
  <c r="I38" i="2"/>
  <c r="J38" i="2" s="1"/>
  <c r="I39" i="2"/>
  <c r="J39" i="2" s="1"/>
  <c r="U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I46" i="2"/>
  <c r="J46" i="2" s="1"/>
  <c r="I47" i="2"/>
  <c r="J47" i="2" s="1"/>
  <c r="I48" i="2"/>
  <c r="J48" i="2" s="1"/>
  <c r="I49" i="2"/>
  <c r="J49" i="2" s="1"/>
  <c r="I50" i="2"/>
  <c r="J50" i="2" s="1"/>
  <c r="I51" i="2"/>
  <c r="J51" i="2" s="1"/>
  <c r="T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2" i="2"/>
  <c r="J2" i="2" s="1"/>
  <c r="T2" i="2" s="1"/>
  <c r="I2" i="1"/>
  <c r="J2" i="1" s="1"/>
  <c r="S2" i="1" s="1"/>
  <c r="I19" i="1"/>
  <c r="J19" i="1" s="1"/>
  <c r="T19" i="1" s="1"/>
  <c r="I4" i="1"/>
  <c r="J4" i="1" s="1"/>
  <c r="I18" i="1"/>
  <c r="J18" i="1" s="1"/>
  <c r="I143" i="1"/>
  <c r="J143" i="1" s="1"/>
  <c r="T38" i="1"/>
  <c r="T26" i="1"/>
  <c r="J138" i="1"/>
  <c r="U138" i="1" s="1"/>
  <c r="J125" i="1"/>
  <c r="J114" i="1"/>
  <c r="U114" i="1" s="1"/>
  <c r="J93" i="1"/>
  <c r="J81" i="1"/>
  <c r="J71" i="1"/>
  <c r="T71" i="1" s="1"/>
  <c r="J70" i="1"/>
  <c r="S70" i="1" s="1"/>
  <c r="J58" i="1"/>
  <c r="T58" i="1" s="1"/>
  <c r="J47" i="1"/>
  <c r="T47" i="1" s="1"/>
  <c r="J46" i="1"/>
  <c r="T46" i="1" s="1"/>
  <c r="J38" i="1"/>
  <c r="J33" i="1"/>
  <c r="T33" i="1" s="1"/>
  <c r="J21" i="1"/>
  <c r="T21" i="1" s="1"/>
  <c r="J15" i="1"/>
  <c r="J10" i="1"/>
  <c r="I110" i="1"/>
  <c r="J110" i="1" s="1"/>
  <c r="I111" i="1"/>
  <c r="J111" i="1" s="1"/>
  <c r="I112" i="1"/>
  <c r="J112" i="1" s="1"/>
  <c r="I113" i="1"/>
  <c r="J113" i="1" s="1"/>
  <c r="I114" i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I126" i="1"/>
  <c r="J126" i="1" s="1"/>
  <c r="U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I139" i="1"/>
  <c r="J139" i="1" s="1"/>
  <c r="I140" i="1"/>
  <c r="J140" i="1" s="1"/>
  <c r="I141" i="1"/>
  <c r="J141" i="1" s="1"/>
  <c r="I142" i="1"/>
  <c r="J142" i="1" s="1"/>
  <c r="I109" i="1"/>
  <c r="J109" i="1" s="1"/>
  <c r="I108" i="1"/>
  <c r="J108" i="1" s="1"/>
  <c r="I107" i="1"/>
  <c r="J107" i="1" s="1"/>
  <c r="I106" i="1"/>
  <c r="J106" i="1" s="1"/>
  <c r="I104" i="1"/>
  <c r="J104" i="1" s="1"/>
  <c r="I105" i="1"/>
  <c r="J105" i="1" s="1"/>
  <c r="I103" i="1"/>
  <c r="I102" i="1"/>
  <c r="J102" i="1" s="1"/>
  <c r="I101" i="1"/>
  <c r="J101" i="1" s="1"/>
  <c r="I100" i="1"/>
  <c r="J100" i="1" s="1"/>
  <c r="I10" i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83" i="1"/>
  <c r="J83" i="1" s="1"/>
  <c r="I82" i="1"/>
  <c r="J82" i="1" s="1"/>
  <c r="I81" i="1"/>
  <c r="I79" i="1"/>
  <c r="J79" i="1" s="1"/>
  <c r="I80" i="1"/>
  <c r="J80" i="1" s="1"/>
  <c r="I78" i="1"/>
  <c r="J78" i="1" s="1"/>
  <c r="I77" i="1"/>
  <c r="J77" i="1" s="1"/>
  <c r="I76" i="1"/>
  <c r="J76" i="1" s="1"/>
  <c r="I39" i="1"/>
  <c r="J39" i="1" s="1"/>
  <c r="T39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I71" i="1"/>
  <c r="I72" i="1"/>
  <c r="J72" i="1" s="1"/>
  <c r="I73" i="1"/>
  <c r="J73" i="1" s="1"/>
  <c r="I74" i="1"/>
  <c r="J74" i="1" s="1"/>
  <c r="I75" i="1"/>
  <c r="J75" i="1" s="1"/>
  <c r="I50" i="1"/>
  <c r="J50" i="1" s="1"/>
  <c r="T50" i="1" s="1"/>
  <c r="I51" i="1"/>
  <c r="J51" i="1" s="1"/>
  <c r="T51" i="1" s="1"/>
  <c r="I52" i="1"/>
  <c r="J52" i="1" s="1"/>
  <c r="T52" i="1" s="1"/>
  <c r="I53" i="1"/>
  <c r="J53" i="1" s="1"/>
  <c r="T53" i="1" s="1"/>
  <c r="I54" i="1"/>
  <c r="J54" i="1" s="1"/>
  <c r="T54" i="1" s="1"/>
  <c r="I55" i="1"/>
  <c r="J55" i="1" s="1"/>
  <c r="T55" i="1" s="1"/>
  <c r="I56" i="1"/>
  <c r="J56" i="1" s="1"/>
  <c r="T56" i="1" s="1"/>
  <c r="I57" i="1"/>
  <c r="J57" i="1" s="1"/>
  <c r="T57" i="1" s="1"/>
  <c r="I58" i="1"/>
  <c r="I59" i="1"/>
  <c r="J59" i="1" s="1"/>
  <c r="T59" i="1" s="1"/>
  <c r="I60" i="1"/>
  <c r="J60" i="1" s="1"/>
  <c r="T60" i="1" s="1"/>
  <c r="I61" i="1"/>
  <c r="J61" i="1" s="1"/>
  <c r="T61" i="1" s="1"/>
  <c r="I36" i="1"/>
  <c r="J36" i="1" s="1"/>
  <c r="T36" i="1" s="1"/>
  <c r="I37" i="1"/>
  <c r="J37" i="1" s="1"/>
  <c r="T37" i="1" s="1"/>
  <c r="I40" i="1"/>
  <c r="J40" i="1" s="1"/>
  <c r="T40" i="1" s="1"/>
  <c r="I41" i="1"/>
  <c r="J41" i="1" s="1"/>
  <c r="T41" i="1" s="1"/>
  <c r="I42" i="1"/>
  <c r="J42" i="1" s="1"/>
  <c r="T42" i="1" s="1"/>
  <c r="I43" i="1"/>
  <c r="J43" i="1" s="1"/>
  <c r="T43" i="1" s="1"/>
  <c r="I44" i="1"/>
  <c r="J44" i="1" s="1"/>
  <c r="T44" i="1" s="1"/>
  <c r="I45" i="1"/>
  <c r="J45" i="1" s="1"/>
  <c r="T45" i="1" s="1"/>
  <c r="I46" i="1"/>
  <c r="I47" i="1"/>
  <c r="I48" i="1"/>
  <c r="J48" i="1" s="1"/>
  <c r="T48" i="1" s="1"/>
  <c r="I49" i="1"/>
  <c r="J49" i="1" s="1"/>
  <c r="T49" i="1" s="1"/>
  <c r="I3" i="1"/>
  <c r="J3" i="1" s="1"/>
  <c r="I5" i="1"/>
  <c r="J5" i="1" s="1"/>
  <c r="I6" i="1"/>
  <c r="J6" i="1" s="1"/>
  <c r="I7" i="1"/>
  <c r="J7" i="1" s="1"/>
  <c r="I8" i="1"/>
  <c r="J8" i="1" s="1"/>
  <c r="I9" i="1"/>
  <c r="J9" i="1" s="1"/>
  <c r="I11" i="1"/>
  <c r="J11" i="1" s="1"/>
  <c r="I12" i="1"/>
  <c r="J12" i="1" s="1"/>
  <c r="I13" i="1"/>
  <c r="J13" i="1" s="1"/>
  <c r="I14" i="1"/>
  <c r="J14" i="1" s="1"/>
  <c r="I15" i="1"/>
  <c r="I16" i="1"/>
  <c r="J16" i="1" s="1"/>
  <c r="I17" i="1"/>
  <c r="J17" i="1" s="1"/>
  <c r="I20" i="1"/>
  <c r="J20" i="1" s="1"/>
  <c r="I21" i="1"/>
  <c r="I22" i="1"/>
  <c r="J22" i="1" s="1"/>
  <c r="T22" i="1" s="1"/>
  <c r="I23" i="1"/>
  <c r="J23" i="1" s="1"/>
  <c r="T23" i="1" s="1"/>
  <c r="I24" i="1"/>
  <c r="J24" i="1" s="1"/>
  <c r="T24" i="1" s="1"/>
  <c r="I25" i="1"/>
  <c r="J25" i="1" s="1"/>
  <c r="T25" i="1" s="1"/>
  <c r="I26" i="1"/>
  <c r="J26" i="1" s="1"/>
  <c r="I27" i="1"/>
  <c r="J27" i="1" s="1"/>
  <c r="T27" i="1" s="1"/>
  <c r="I28" i="1"/>
  <c r="J28" i="1" s="1"/>
  <c r="T28" i="1" s="1"/>
  <c r="I29" i="1"/>
  <c r="J29" i="1" s="1"/>
  <c r="T29" i="1" s="1"/>
  <c r="I30" i="1"/>
  <c r="J30" i="1" s="1"/>
  <c r="T30" i="1" s="1"/>
  <c r="I31" i="1"/>
  <c r="J31" i="1" s="1"/>
  <c r="T31" i="1" s="1"/>
  <c r="I32" i="1"/>
  <c r="J32" i="1" s="1"/>
  <c r="T32" i="1" s="1"/>
  <c r="I33" i="1"/>
  <c r="I34" i="1"/>
  <c r="J34" i="1" s="1"/>
  <c r="T34" i="1" s="1"/>
  <c r="I35" i="1"/>
  <c r="J35" i="1" s="1"/>
  <c r="T35" i="1" s="1"/>
  <c r="N8" i="1"/>
  <c r="P8" i="1" s="1"/>
  <c r="O8" i="1"/>
  <c r="O2" i="1"/>
  <c r="O5" i="1"/>
  <c r="O6" i="1"/>
  <c r="O7" i="1"/>
  <c r="P2" i="1"/>
  <c r="N5" i="1"/>
  <c r="P5" i="1" s="1"/>
  <c r="N6" i="1"/>
  <c r="P6" i="1" s="1"/>
  <c r="N7" i="1"/>
  <c r="P7" i="1" s="1"/>
  <c r="N4" i="1"/>
  <c r="P4" i="1" s="1"/>
  <c r="N3" i="1"/>
  <c r="P3" i="1" s="1"/>
  <c r="O3" i="1"/>
  <c r="O4" i="1"/>
  <c r="AB2" i="1"/>
  <c r="T416" i="2" l="1"/>
  <c r="T427" i="2"/>
  <c r="T428" i="2"/>
  <c r="T419" i="2"/>
  <c r="T411" i="2"/>
  <c r="T422" i="2"/>
  <c r="T404" i="2"/>
  <c r="T264" i="2"/>
  <c r="T176" i="2"/>
  <c r="U176" i="2"/>
  <c r="U120" i="1"/>
  <c r="T120" i="1"/>
  <c r="U108" i="1"/>
  <c r="T108" i="1"/>
  <c r="U132" i="1"/>
  <c r="T132" i="1"/>
  <c r="U71" i="1"/>
  <c r="S71" i="1"/>
  <c r="S69" i="1"/>
  <c r="T69" i="1"/>
  <c r="U69" i="1"/>
  <c r="T75" i="1"/>
  <c r="S75" i="1"/>
  <c r="U75" i="1"/>
  <c r="S74" i="1"/>
  <c r="U74" i="1"/>
  <c r="T74" i="1"/>
  <c r="U131" i="1"/>
  <c r="T131" i="1"/>
  <c r="U142" i="1"/>
  <c r="T142" i="1"/>
  <c r="S72" i="1"/>
  <c r="U72" i="1"/>
  <c r="T72" i="1"/>
  <c r="U116" i="1"/>
  <c r="T116" i="1"/>
  <c r="S62" i="1"/>
  <c r="U62" i="1"/>
  <c r="S73" i="1"/>
  <c r="T73" i="1"/>
  <c r="U73" i="1"/>
  <c r="S87" i="1"/>
  <c r="U87" i="1"/>
  <c r="T87" i="1"/>
  <c r="U130" i="1"/>
  <c r="T130" i="1"/>
  <c r="U118" i="1"/>
  <c r="T118" i="1"/>
  <c r="U141" i="1"/>
  <c r="T141" i="1"/>
  <c r="U129" i="1"/>
  <c r="T129" i="1"/>
  <c r="U117" i="1"/>
  <c r="T117" i="1"/>
  <c r="S93" i="1"/>
  <c r="U93" i="1"/>
  <c r="T93" i="1"/>
  <c r="U77" i="1"/>
  <c r="T77" i="1"/>
  <c r="S77" i="1"/>
  <c r="U89" i="1"/>
  <c r="T89" i="1"/>
  <c r="S89" i="1"/>
  <c r="U100" i="1"/>
  <c r="T100" i="1"/>
  <c r="U128" i="1"/>
  <c r="T128" i="1"/>
  <c r="T62" i="1"/>
  <c r="S78" i="1"/>
  <c r="U78" i="1"/>
  <c r="T78" i="1"/>
  <c r="S90" i="1"/>
  <c r="U90" i="1"/>
  <c r="T90" i="1"/>
  <c r="T101" i="1"/>
  <c r="U101" i="1"/>
  <c r="U139" i="1"/>
  <c r="T139" i="1"/>
  <c r="U127" i="1"/>
  <c r="T127" i="1"/>
  <c r="U115" i="1"/>
  <c r="T115" i="1"/>
  <c r="U113" i="1"/>
  <c r="T113" i="1"/>
  <c r="T80" i="1"/>
  <c r="S80" i="1"/>
  <c r="U80" i="1"/>
  <c r="S91" i="1"/>
  <c r="T91" i="1"/>
  <c r="U91" i="1"/>
  <c r="T68" i="1"/>
  <c r="S68" i="1"/>
  <c r="U68" i="1"/>
  <c r="T92" i="1"/>
  <c r="S92" i="1"/>
  <c r="U92" i="1"/>
  <c r="S67" i="1"/>
  <c r="T67" i="1"/>
  <c r="U67" i="1"/>
  <c r="U136" i="1"/>
  <c r="T136" i="1"/>
  <c r="T124" i="1"/>
  <c r="U124" i="1"/>
  <c r="T112" i="1"/>
  <c r="U112" i="1"/>
  <c r="U125" i="1"/>
  <c r="T125" i="1"/>
  <c r="T83" i="1"/>
  <c r="S83" i="1"/>
  <c r="U83" i="1"/>
  <c r="U122" i="1"/>
  <c r="T122" i="1"/>
  <c r="T63" i="1"/>
  <c r="S63" i="1"/>
  <c r="U63" i="1"/>
  <c r="S85" i="1"/>
  <c r="T85" i="1"/>
  <c r="U85" i="1"/>
  <c r="S86" i="1"/>
  <c r="U86" i="1"/>
  <c r="T86" i="1"/>
  <c r="U109" i="1"/>
  <c r="T109" i="1"/>
  <c r="U119" i="1"/>
  <c r="T119" i="1"/>
  <c r="U81" i="1"/>
  <c r="S81" i="1"/>
  <c r="T81" i="1"/>
  <c r="T76" i="1"/>
  <c r="S76" i="1"/>
  <c r="U76" i="1"/>
  <c r="T88" i="1"/>
  <c r="S88" i="1"/>
  <c r="U88" i="1"/>
  <c r="U140" i="1"/>
  <c r="T140" i="1"/>
  <c r="S79" i="1"/>
  <c r="T79" i="1"/>
  <c r="U79" i="1"/>
  <c r="P108" i="1"/>
  <c r="J103" i="1"/>
  <c r="R60" i="1" s="1"/>
  <c r="U6" i="1"/>
  <c r="T6" i="1"/>
  <c r="S66" i="1"/>
  <c r="U66" i="1"/>
  <c r="T66" i="1"/>
  <c r="T82" i="1"/>
  <c r="S82" i="1"/>
  <c r="U82" i="1"/>
  <c r="S94" i="1"/>
  <c r="U94" i="1"/>
  <c r="T94" i="1"/>
  <c r="U135" i="1"/>
  <c r="T135" i="1"/>
  <c r="U123" i="1"/>
  <c r="T123" i="1"/>
  <c r="U111" i="1"/>
  <c r="T111" i="1"/>
  <c r="U65" i="1"/>
  <c r="T65" i="1"/>
  <c r="S65" i="1"/>
  <c r="S95" i="1"/>
  <c r="U95" i="1"/>
  <c r="T95" i="1"/>
  <c r="U106" i="1"/>
  <c r="T106" i="1"/>
  <c r="U134" i="1"/>
  <c r="T134" i="1"/>
  <c r="U110" i="1"/>
  <c r="T110" i="1"/>
  <c r="U3" i="1"/>
  <c r="T3" i="1"/>
  <c r="T64" i="1"/>
  <c r="S64" i="1"/>
  <c r="U64" i="1"/>
  <c r="U84" i="1"/>
  <c r="T84" i="1"/>
  <c r="S84" i="1"/>
  <c r="U107" i="1"/>
  <c r="T107" i="1"/>
  <c r="T133" i="1"/>
  <c r="U133" i="1" a="1"/>
  <c r="U133" i="1" s="1"/>
  <c r="U121" i="1"/>
  <c r="T121" i="1"/>
  <c r="U137" i="1"/>
  <c r="T137" i="1"/>
  <c r="T70" i="1"/>
  <c r="T114" i="1"/>
  <c r="T126" i="1"/>
  <c r="T138" i="1"/>
  <c r="U70" i="1"/>
  <c r="U228" i="2"/>
  <c r="T228" i="2"/>
  <c r="U234" i="2"/>
  <c r="U231" i="2"/>
  <c r="T235" i="2"/>
  <c r="U235" i="2"/>
  <c r="U229" i="2"/>
  <c r="T229" i="2"/>
  <c r="T232" i="2"/>
  <c r="U232" i="2"/>
  <c r="T226" i="2"/>
  <c r="U226" i="2"/>
  <c r="U233" i="2"/>
  <c r="U230" i="2"/>
  <c r="U227" i="2"/>
  <c r="T219" i="2"/>
  <c r="U219" i="2"/>
  <c r="T218" i="2"/>
  <c r="U218" i="2"/>
  <c r="U217" i="2"/>
  <c r="T217" i="2"/>
  <c r="T216" i="2"/>
  <c r="U216" i="2"/>
  <c r="T215" i="2"/>
  <c r="U215" i="2"/>
  <c r="U214" i="2"/>
  <c r="T214" i="2"/>
  <c r="T213" i="2"/>
  <c r="U213" i="2"/>
  <c r="U125" i="2"/>
  <c r="T127" i="2"/>
  <c r="T141" i="2"/>
  <c r="U141" i="2"/>
  <c r="U119" i="2"/>
  <c r="T119" i="2"/>
  <c r="U118" i="2"/>
  <c r="T118" i="2"/>
  <c r="T122" i="2"/>
  <c r="U122" i="2"/>
  <c r="T189" i="2"/>
  <c r="U189" i="2"/>
  <c r="T188" i="2"/>
  <c r="U188" i="2"/>
  <c r="T112" i="2"/>
  <c r="U112" i="2"/>
  <c r="T111" i="2"/>
  <c r="U111" i="2"/>
  <c r="T146" i="2"/>
  <c r="U146" i="2"/>
  <c r="T113" i="2"/>
  <c r="U113" i="2"/>
  <c r="U137" i="2"/>
  <c r="U132" i="2"/>
  <c r="T132" i="2"/>
  <c r="U133" i="2"/>
  <c r="T133" i="2"/>
  <c r="T110" i="2"/>
  <c r="U110" i="2"/>
  <c r="T134" i="2"/>
  <c r="U134" i="2"/>
  <c r="T191" i="2"/>
  <c r="U191" i="2"/>
  <c r="U136" i="2"/>
  <c r="T136" i="2"/>
  <c r="T183" i="2"/>
  <c r="U183" i="2"/>
  <c r="T182" i="2"/>
  <c r="U182" i="2"/>
  <c r="U181" i="2"/>
  <c r="T181" i="2"/>
  <c r="U192" i="2"/>
  <c r="T192" i="2"/>
  <c r="U124" i="2"/>
  <c r="T124" i="2"/>
  <c r="U145" i="2"/>
  <c r="T145" i="2"/>
  <c r="U109" i="2"/>
  <c r="T109" i="2"/>
  <c r="U190" i="2"/>
  <c r="T190" i="2"/>
  <c r="T117" i="2"/>
  <c r="U117" i="2"/>
  <c r="T187" i="2"/>
  <c r="U187" i="2"/>
  <c r="T116" i="2"/>
  <c r="U116" i="2"/>
  <c r="T129" i="2"/>
  <c r="U129" i="2"/>
  <c r="U138" i="2"/>
  <c r="T138" i="2"/>
  <c r="T147" i="2"/>
  <c r="U147" i="2"/>
  <c r="U186" i="2"/>
  <c r="T186" i="2"/>
  <c r="U121" i="2"/>
  <c r="T121" i="2"/>
  <c r="T131" i="2"/>
  <c r="U131" i="2"/>
  <c r="T149" i="2"/>
  <c r="U149" i="2"/>
  <c r="U151" i="2"/>
  <c r="T151" i="2"/>
  <c r="T142" i="2"/>
  <c r="U142" i="2"/>
  <c r="T150" i="2"/>
  <c r="U150" i="2"/>
  <c r="U193" i="2"/>
  <c r="T193" i="2"/>
  <c r="T123" i="2"/>
  <c r="U123" i="2"/>
  <c r="U180" i="2"/>
  <c r="T180" i="2"/>
  <c r="T128" i="2"/>
  <c r="U128" i="2"/>
  <c r="U139" i="2"/>
  <c r="T139" i="2"/>
  <c r="U120" i="2"/>
  <c r="T120" i="2"/>
  <c r="T130" i="2"/>
  <c r="U130" i="2"/>
  <c r="T140" i="2"/>
  <c r="U140" i="2"/>
  <c r="U135" i="2"/>
  <c r="T184" i="2"/>
  <c r="T115" i="2"/>
  <c r="U143" i="2"/>
  <c r="T126" i="2"/>
  <c r="T114" i="2"/>
  <c r="T144" i="2"/>
  <c r="U148" i="2"/>
  <c r="T185" i="2"/>
  <c r="T225" i="2"/>
  <c r="U225" i="2"/>
  <c r="T224" i="2"/>
  <c r="U224" i="2"/>
  <c r="T223" i="2"/>
  <c r="U223" i="2"/>
  <c r="T222" i="2"/>
  <c r="U222" i="2"/>
  <c r="T221" i="2"/>
  <c r="U221" i="2"/>
  <c r="T220" i="2"/>
  <c r="U220" i="2"/>
  <c r="T212" i="2"/>
  <c r="U212" i="2"/>
  <c r="T211" i="2"/>
  <c r="U211" i="2"/>
  <c r="T210" i="2"/>
  <c r="U210" i="2"/>
  <c r="T209" i="2"/>
  <c r="U209" i="2"/>
  <c r="T208" i="2"/>
  <c r="U208" i="2"/>
  <c r="T207" i="2"/>
  <c r="U207" i="2"/>
  <c r="T206" i="2"/>
  <c r="U206" i="2"/>
  <c r="T205" i="2"/>
  <c r="U205" i="2"/>
  <c r="T204" i="2"/>
  <c r="U204" i="2"/>
  <c r="T203" i="2"/>
  <c r="U203" i="2"/>
  <c r="T202" i="2"/>
  <c r="U202" i="2"/>
  <c r="T201" i="2"/>
  <c r="U201" i="2"/>
  <c r="T200" i="2"/>
  <c r="U200" i="2"/>
  <c r="T199" i="2"/>
  <c r="U199" i="2"/>
  <c r="T198" i="2"/>
  <c r="U198" i="2"/>
  <c r="T197" i="2"/>
  <c r="U197" i="2"/>
  <c r="T196" i="2"/>
  <c r="U196" i="2"/>
  <c r="T194" i="2"/>
  <c r="U194" i="2"/>
  <c r="T179" i="2"/>
  <c r="U179" i="2"/>
  <c r="T178" i="2"/>
  <c r="U178" i="2"/>
  <c r="T177" i="2"/>
  <c r="U177" i="2"/>
  <c r="T175" i="2"/>
  <c r="U175" i="2"/>
  <c r="T174" i="2"/>
  <c r="U174" i="2"/>
  <c r="T173" i="2"/>
  <c r="U173" i="2"/>
  <c r="T172" i="2"/>
  <c r="U172" i="2"/>
  <c r="T171" i="2"/>
  <c r="U171" i="2"/>
  <c r="T170" i="2"/>
  <c r="U170" i="2"/>
  <c r="T169" i="2"/>
  <c r="U169" i="2"/>
  <c r="T168" i="2"/>
  <c r="U168" i="2"/>
  <c r="T167" i="2"/>
  <c r="U167" i="2"/>
  <c r="T166" i="2"/>
  <c r="U166" i="2"/>
  <c r="T165" i="2"/>
  <c r="U165" i="2"/>
  <c r="T164" i="2"/>
  <c r="U164" i="2"/>
  <c r="T163" i="2"/>
  <c r="U163" i="2"/>
  <c r="T162" i="2"/>
  <c r="U162" i="2"/>
  <c r="T161" i="2"/>
  <c r="U161" i="2"/>
  <c r="T160" i="2"/>
  <c r="U160" i="2"/>
  <c r="T159" i="2"/>
  <c r="U159" i="2"/>
  <c r="T158" i="2"/>
  <c r="U158" i="2"/>
  <c r="T157" i="2"/>
  <c r="U157" i="2"/>
  <c r="T156" i="2"/>
  <c r="U156" i="2"/>
  <c r="T155" i="2"/>
  <c r="U155" i="2"/>
  <c r="U154" i="2"/>
  <c r="T153" i="2"/>
  <c r="U153" i="2"/>
  <c r="U152" i="2"/>
  <c r="T152" i="2"/>
  <c r="T108" i="2"/>
  <c r="U108" i="2"/>
  <c r="T107" i="2"/>
  <c r="U107" i="2"/>
  <c r="T106" i="2"/>
  <c r="U106" i="2"/>
  <c r="T105" i="2"/>
  <c r="U105" i="2"/>
  <c r="T104" i="2"/>
  <c r="U104" i="2"/>
  <c r="T103" i="2"/>
  <c r="U103" i="2"/>
  <c r="T102" i="2"/>
  <c r="U102" i="2"/>
  <c r="T101" i="2"/>
  <c r="U101" i="2"/>
  <c r="T100" i="2"/>
  <c r="U100" i="2"/>
  <c r="T99" i="2"/>
  <c r="U99" i="2"/>
  <c r="T98" i="2"/>
  <c r="U98" i="2"/>
  <c r="T97" i="2"/>
  <c r="U97" i="2"/>
  <c r="T96" i="2"/>
  <c r="U96" i="2"/>
  <c r="T10" i="2"/>
  <c r="U10" i="2"/>
  <c r="U71" i="2"/>
  <c r="T95" i="2"/>
  <c r="U95" i="2"/>
  <c r="T94" i="2"/>
  <c r="U94" i="2"/>
  <c r="T93" i="2"/>
  <c r="U93" i="2"/>
  <c r="T92" i="2"/>
  <c r="U92" i="2"/>
  <c r="T91" i="2"/>
  <c r="U91" i="2"/>
  <c r="T90" i="2"/>
  <c r="U90" i="2"/>
  <c r="T89" i="2"/>
  <c r="U89" i="2"/>
  <c r="T88" i="2"/>
  <c r="U88" i="2"/>
  <c r="T87" i="2"/>
  <c r="U87" i="2"/>
  <c r="T86" i="2"/>
  <c r="U86" i="2"/>
  <c r="T85" i="2"/>
  <c r="U85" i="2"/>
  <c r="T84" i="2"/>
  <c r="U84" i="2"/>
  <c r="T83" i="2"/>
  <c r="U83" i="2"/>
  <c r="T82" i="2"/>
  <c r="U82" i="2"/>
  <c r="T81" i="2"/>
  <c r="U81" i="2"/>
  <c r="T80" i="2"/>
  <c r="U80" i="2"/>
  <c r="T79" i="2"/>
  <c r="U79" i="2"/>
  <c r="T78" i="2"/>
  <c r="U78" i="2"/>
  <c r="T77" i="2"/>
  <c r="U77" i="2"/>
  <c r="T76" i="2"/>
  <c r="U76" i="2"/>
  <c r="T75" i="2"/>
  <c r="U75" i="2"/>
  <c r="U74" i="2"/>
  <c r="T74" i="2"/>
  <c r="T73" i="2"/>
  <c r="U73" i="2"/>
  <c r="T72" i="2"/>
  <c r="U72" i="2"/>
  <c r="T70" i="2"/>
  <c r="U70" i="2"/>
  <c r="T66" i="2"/>
  <c r="U66" i="2"/>
  <c r="U69" i="2"/>
  <c r="T69" i="2"/>
  <c r="U68" i="2"/>
  <c r="T68" i="2"/>
  <c r="T67" i="2"/>
  <c r="U67" i="2"/>
  <c r="T65" i="2"/>
  <c r="U65" i="2"/>
  <c r="T64" i="2"/>
  <c r="U64" i="2"/>
  <c r="T63" i="2"/>
  <c r="U63" i="2"/>
  <c r="T62" i="2"/>
  <c r="U62" i="2"/>
  <c r="U61" i="2"/>
  <c r="T61" i="2"/>
  <c r="T60" i="2"/>
  <c r="U60" i="2"/>
  <c r="T2" i="1"/>
  <c r="U2" i="1"/>
  <c r="U8" i="1" s="1"/>
  <c r="U59" i="2"/>
  <c r="T59" i="2"/>
  <c r="U58" i="2"/>
  <c r="T58" i="2"/>
  <c r="U57" i="2"/>
  <c r="T57" i="2"/>
  <c r="T56" i="2"/>
  <c r="U56" i="2"/>
  <c r="T55" i="2"/>
  <c r="U55" i="2"/>
  <c r="T54" i="2"/>
  <c r="U54" i="2"/>
  <c r="U51" i="2"/>
  <c r="U53" i="2"/>
  <c r="T53" i="2"/>
  <c r="U52" i="2"/>
  <c r="T52" i="2"/>
  <c r="T50" i="2"/>
  <c r="U50" i="2"/>
  <c r="U49" i="2"/>
  <c r="T49" i="2"/>
  <c r="T48" i="2"/>
  <c r="U48" i="2"/>
  <c r="U47" i="2"/>
  <c r="T47" i="2"/>
  <c r="U46" i="2"/>
  <c r="T46" i="2"/>
  <c r="U45" i="2"/>
  <c r="T45" i="2"/>
  <c r="U44" i="2"/>
  <c r="T44" i="2"/>
  <c r="U43" i="2"/>
  <c r="T43" i="2"/>
  <c r="T42" i="2"/>
  <c r="U42" i="2"/>
  <c r="U41" i="2"/>
  <c r="T41" i="2"/>
  <c r="U40" i="2"/>
  <c r="T40" i="2"/>
  <c r="T39" i="2"/>
  <c r="U38" i="2"/>
  <c r="T38" i="2"/>
  <c r="U37" i="2"/>
  <c r="T37" i="2"/>
  <c r="U36" i="2"/>
  <c r="T36" i="2"/>
  <c r="T35" i="2"/>
  <c r="T31" i="2"/>
  <c r="U27" i="2"/>
  <c r="T27" i="2"/>
  <c r="U21" i="2"/>
  <c r="U17" i="2"/>
  <c r="T16" i="2"/>
  <c r="T15" i="2"/>
  <c r="U24" i="2"/>
  <c r="T24" i="2"/>
  <c r="T22" i="2"/>
  <c r="U22" i="2"/>
  <c r="U32" i="2"/>
  <c r="T32" i="2"/>
  <c r="T19" i="2"/>
  <c r="U19" i="2"/>
  <c r="U3" i="2"/>
  <c r="T3" i="2"/>
  <c r="U29" i="2"/>
  <c r="T29" i="2"/>
  <c r="U23" i="2"/>
  <c r="T25" i="2"/>
  <c r="T14" i="2"/>
  <c r="U13" i="2"/>
  <c r="T30" i="2"/>
  <c r="U20" i="2"/>
  <c r="U12" i="2"/>
  <c r="U11" i="2"/>
  <c r="T28" i="2"/>
  <c r="U18" i="2"/>
  <c r="U9" i="2"/>
  <c r="U8" i="2"/>
  <c r="T26" i="2"/>
  <c r="U7" i="2"/>
  <c r="T34" i="2"/>
  <c r="U6" i="2"/>
  <c r="T33" i="2"/>
  <c r="U5" i="2"/>
  <c r="U4" i="2"/>
  <c r="U2" i="2"/>
  <c r="T143" i="1"/>
  <c r="U143" i="1"/>
  <c r="S43" i="1"/>
  <c r="S11" i="1"/>
  <c r="U21" i="1"/>
  <c r="T7" i="1"/>
  <c r="S3" i="1"/>
  <c r="T5" i="1"/>
  <c r="U4" i="1"/>
  <c r="S10" i="1"/>
  <c r="T10" i="1"/>
  <c r="U10" i="1"/>
  <c r="S61" i="1"/>
  <c r="R61" i="1"/>
  <c r="U61" i="1"/>
  <c r="S60" i="1"/>
  <c r="U60" i="1"/>
  <c r="S59" i="1"/>
  <c r="U59" i="1"/>
  <c r="U58" i="1"/>
  <c r="S58" i="1"/>
  <c r="S57" i="1"/>
  <c r="U57" i="1"/>
  <c r="S56" i="1"/>
  <c r="U56" i="1"/>
  <c r="S55" i="1"/>
  <c r="U55" i="1"/>
  <c r="S54" i="1"/>
  <c r="U54" i="1"/>
  <c r="S53" i="1"/>
  <c r="U53" i="1"/>
  <c r="S52" i="1"/>
  <c r="U52" i="1"/>
  <c r="S51" i="1"/>
  <c r="U51" i="1"/>
  <c r="S50" i="1"/>
  <c r="U50" i="1"/>
  <c r="U43" i="1"/>
  <c r="S4" i="1"/>
  <c r="R49" i="1"/>
  <c r="S49" i="1"/>
  <c r="U49" i="1"/>
  <c r="S48" i="1"/>
  <c r="U48" i="1"/>
  <c r="S47" i="1"/>
  <c r="U47" i="1"/>
  <c r="S46" i="1"/>
  <c r="U46" i="1"/>
  <c r="R45" i="1"/>
  <c r="S45" i="1"/>
  <c r="U45" i="1"/>
  <c r="S44" i="1"/>
  <c r="U44" i="1"/>
  <c r="S42" i="1"/>
  <c r="U42" i="1"/>
  <c r="S41" i="1"/>
  <c r="U41" i="1"/>
  <c r="S40" i="1"/>
  <c r="U40" i="1"/>
  <c r="U39" i="1"/>
  <c r="S39" i="1"/>
  <c r="S38" i="1"/>
  <c r="U38" i="1"/>
  <c r="S37" i="1"/>
  <c r="U37" i="1"/>
  <c r="S36" i="1"/>
  <c r="U36" i="1"/>
  <c r="S35" i="1"/>
  <c r="U35" i="1"/>
  <c r="S34" i="1"/>
  <c r="U34" i="1"/>
  <c r="U33" i="1"/>
  <c r="R33" i="1"/>
  <c r="S33" i="1"/>
  <c r="U32" i="1"/>
  <c r="S32" i="1"/>
  <c r="S31" i="1"/>
  <c r="U31" i="1"/>
  <c r="S30" i="1"/>
  <c r="U30" i="1"/>
  <c r="S29" i="1"/>
  <c r="U29" i="1"/>
  <c r="Q8" i="1"/>
  <c r="S28" i="1"/>
  <c r="U28" i="1"/>
  <c r="U27" i="1"/>
  <c r="S27" i="1"/>
  <c r="S26" i="1"/>
  <c r="U26" i="1"/>
  <c r="R25" i="1"/>
  <c r="S25" i="1"/>
  <c r="U25" i="1"/>
  <c r="S24" i="1"/>
  <c r="U24" i="1"/>
  <c r="S23" i="1"/>
  <c r="U23" i="1"/>
  <c r="U22" i="1"/>
  <c r="S22" i="1"/>
  <c r="R21" i="1"/>
  <c r="S21" i="1"/>
  <c r="S20" i="1"/>
  <c r="T20" i="1"/>
  <c r="U20" i="1"/>
  <c r="U19" i="1"/>
  <c r="S19" i="1"/>
  <c r="U18" i="1"/>
  <c r="S18" i="1"/>
  <c r="T18" i="1"/>
  <c r="R17" i="1"/>
  <c r="U17" i="1"/>
  <c r="S17" i="1"/>
  <c r="T17" i="1"/>
  <c r="S16" i="1"/>
  <c r="T16" i="1"/>
  <c r="U16" i="1"/>
  <c r="S15" i="1"/>
  <c r="T15" i="1"/>
  <c r="U15" i="1"/>
  <c r="R8" i="1"/>
  <c r="S14" i="1"/>
  <c r="T14" i="1"/>
  <c r="U14" i="1"/>
  <c r="U9" i="1"/>
  <c r="S9" i="1"/>
  <c r="T9" i="1"/>
  <c r="T12" i="1"/>
  <c r="S12" i="1"/>
  <c r="U7" i="1"/>
  <c r="U5" i="1"/>
  <c r="S13" i="1"/>
  <c r="T13" i="1"/>
  <c r="U13" i="1"/>
  <c r="U12" i="1"/>
  <c r="U11" i="1"/>
  <c r="T11" i="1"/>
  <c r="S8" i="1"/>
  <c r="T8" i="1"/>
  <c r="Q3" i="1"/>
  <c r="Q4" i="1"/>
  <c r="Q7" i="1"/>
  <c r="T4" i="1"/>
  <c r="Q6" i="1"/>
  <c r="S7" i="1"/>
  <c r="S5" i="1"/>
  <c r="S6" i="1"/>
  <c r="Q5" i="1"/>
  <c r="Q2" i="1"/>
  <c r="R29" i="1" l="1"/>
  <c r="R37" i="1"/>
  <c r="R7" i="1"/>
  <c r="R2" i="1"/>
  <c r="R18" i="1"/>
  <c r="R30" i="1"/>
  <c r="R34" i="1"/>
  <c r="R38" i="1"/>
  <c r="R42" i="1"/>
  <c r="R50" i="1"/>
  <c r="R54" i="1"/>
  <c r="R57" i="1"/>
  <c r="R10" i="1"/>
  <c r="R27" i="1"/>
  <c r="R6" i="1"/>
  <c r="R53" i="1"/>
  <c r="R46" i="1"/>
  <c r="R26" i="1"/>
  <c r="R47" i="1"/>
  <c r="R23" i="1"/>
  <c r="R16" i="1"/>
  <c r="R35" i="1"/>
  <c r="R39" i="1"/>
  <c r="R51" i="1"/>
  <c r="R55" i="1"/>
  <c r="R59" i="1"/>
  <c r="R58" i="1"/>
  <c r="R15" i="1"/>
  <c r="R43" i="1"/>
  <c r="R14" i="1"/>
  <c r="R13" i="1"/>
  <c r="R31" i="1"/>
  <c r="R12" i="1"/>
  <c r="R44" i="1"/>
  <c r="R48" i="1"/>
  <c r="R28" i="1"/>
  <c r="R41" i="1"/>
  <c r="R22" i="1"/>
  <c r="R3" i="1"/>
  <c r="R5" i="1"/>
  <c r="R11" i="1"/>
  <c r="R20" i="1"/>
  <c r="R24" i="1"/>
  <c r="R4" i="1"/>
  <c r="R9" i="1"/>
  <c r="R32" i="1"/>
  <c r="R36" i="1"/>
  <c r="R40" i="1"/>
  <c r="R52" i="1"/>
  <c r="R56" i="1"/>
  <c r="X3" i="1"/>
  <c r="X4" i="1" a="1"/>
  <c r="X4" i="1" s="1"/>
  <c r="X6" i="1"/>
  <c r="X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<sst xmlns="http://schemas.openxmlformats.org/spreadsheetml/2006/main" count="1429" uniqueCount="534">
  <si>
    <t xml:space="preserve">DATE RECEIVED </t>
  </si>
  <si>
    <t>ETA (ARRIVAL)</t>
  </si>
  <si>
    <t>CHARGABLE CBM</t>
  </si>
  <si>
    <t>SHIPPING COST</t>
  </si>
  <si>
    <t>WILLISPORT CHARGES</t>
  </si>
  <si>
    <t>PROFIT</t>
  </si>
  <si>
    <t>CONTAINER</t>
  </si>
  <si>
    <t>MONTH</t>
  </si>
  <si>
    <t>GOODS TYPE</t>
  </si>
  <si>
    <t>ACTUAL CBM</t>
  </si>
  <si>
    <t>Normal</t>
  </si>
  <si>
    <t>MAY</t>
  </si>
  <si>
    <t>TOTAL CBM</t>
  </si>
  <si>
    <t>NO. OF CONTAINERS</t>
  </si>
  <si>
    <t>TOTAL COST</t>
  </si>
  <si>
    <t>TOTAL PROFIT</t>
  </si>
  <si>
    <t>JUNE</t>
  </si>
  <si>
    <t>HAMIDA NAA DENSUA</t>
  </si>
  <si>
    <t>EMMANUEL OSAFO</t>
  </si>
  <si>
    <t>Electronics</t>
  </si>
  <si>
    <t>JOSHUA NAKPRI</t>
  </si>
  <si>
    <t>AWAL KUMASI</t>
  </si>
  <si>
    <t>DISCRIPTION</t>
  </si>
  <si>
    <t>BAGS</t>
  </si>
  <si>
    <t>WASHING MACHINE</t>
  </si>
  <si>
    <t>STUDIO EQUIPMENTS</t>
  </si>
  <si>
    <t>MATRESS</t>
  </si>
  <si>
    <t>BED SHEETS</t>
  </si>
  <si>
    <t>DERICK SAGE</t>
  </si>
  <si>
    <t>DAYS LEFT</t>
  </si>
  <si>
    <t>STATUS</t>
  </si>
  <si>
    <t xml:space="preserve">meli vogue </t>
  </si>
  <si>
    <t>boahen Desmond</t>
  </si>
  <si>
    <t>DRESSES</t>
  </si>
  <si>
    <t>Speedlimit Global</t>
  </si>
  <si>
    <t>Akosua Kumasi</t>
  </si>
  <si>
    <t>carpet</t>
  </si>
  <si>
    <t>Samuel Nkrumah</t>
  </si>
  <si>
    <t>Interior deco</t>
  </si>
  <si>
    <t>Augustine baffoe</t>
  </si>
  <si>
    <t>5box Wig</t>
  </si>
  <si>
    <t>Gladys Mensah</t>
  </si>
  <si>
    <t>Akua</t>
  </si>
  <si>
    <t>Sack</t>
  </si>
  <si>
    <t>Janet</t>
  </si>
  <si>
    <t>Kids school Bag</t>
  </si>
  <si>
    <t>Nyamedea</t>
  </si>
  <si>
    <t>cooking pot</t>
  </si>
  <si>
    <t>bottle cups</t>
  </si>
  <si>
    <t>kitchenware</t>
  </si>
  <si>
    <t>Electric kettle</t>
  </si>
  <si>
    <t>Kitchenware</t>
  </si>
  <si>
    <t>Christaina C. Nchor</t>
  </si>
  <si>
    <t>Blender</t>
  </si>
  <si>
    <t>4 Sacks</t>
  </si>
  <si>
    <t>Cups</t>
  </si>
  <si>
    <t>Rubbers</t>
  </si>
  <si>
    <t>TRACKING NUMBER</t>
  </si>
  <si>
    <t>JT5494852568377</t>
  </si>
  <si>
    <t>JT3166395010232</t>
  </si>
  <si>
    <t>YT7626471621331</t>
  </si>
  <si>
    <t>YT7626450728103</t>
  </si>
  <si>
    <t>1 box</t>
  </si>
  <si>
    <t>JT3166350670068</t>
  </si>
  <si>
    <t>Dinning Table</t>
  </si>
  <si>
    <t>Chandelier</t>
  </si>
  <si>
    <t>Carpet</t>
  </si>
  <si>
    <t>1 box of shoe</t>
  </si>
  <si>
    <t>JT5494303408318</t>
  </si>
  <si>
    <t>lemon Package</t>
  </si>
  <si>
    <t>DPK317197615917</t>
  </si>
  <si>
    <t>Linda Blankson</t>
  </si>
  <si>
    <t>1 Sack</t>
  </si>
  <si>
    <t>Dresses</t>
  </si>
  <si>
    <t>Air</t>
  </si>
  <si>
    <t>sea</t>
  </si>
  <si>
    <t>Sea</t>
  </si>
  <si>
    <t>Sra</t>
  </si>
  <si>
    <t>Guira</t>
  </si>
  <si>
    <t>T.V Set</t>
  </si>
  <si>
    <t>Fomagroh</t>
  </si>
  <si>
    <t>JT5494268189999</t>
  </si>
  <si>
    <t>Lights</t>
  </si>
  <si>
    <t>YT887848550628</t>
  </si>
  <si>
    <t>YT8878410844122</t>
  </si>
  <si>
    <t>Desmond Boahen</t>
  </si>
  <si>
    <t>Rahmatu Shiraz</t>
  </si>
  <si>
    <t>SF1568857533758</t>
  </si>
  <si>
    <t>AUgustine baffoe</t>
  </si>
  <si>
    <t>1 Box</t>
  </si>
  <si>
    <t>Mr Alex</t>
  </si>
  <si>
    <t>SF5134860554329</t>
  </si>
  <si>
    <t>YT7627989409644</t>
  </si>
  <si>
    <t xml:space="preserve">CLIENT </t>
  </si>
  <si>
    <t>SHIPPING MODE</t>
  </si>
  <si>
    <t>WEIGHT</t>
  </si>
  <si>
    <t>CBM</t>
  </si>
  <si>
    <t>ESTIMATED LOADING DATE</t>
  </si>
  <si>
    <t>Speedlimt Global</t>
  </si>
  <si>
    <t>1 Pack hair</t>
  </si>
  <si>
    <t>1 pack portable fan</t>
  </si>
  <si>
    <t>yt62829234378</t>
  </si>
  <si>
    <t>Hair Bursh</t>
  </si>
  <si>
    <t>I Box</t>
  </si>
  <si>
    <t>Princess</t>
  </si>
  <si>
    <t>2 Boxes</t>
  </si>
  <si>
    <t>Micheal Acquah</t>
  </si>
  <si>
    <t>Priscilla Kpodo</t>
  </si>
  <si>
    <t>YT7628304177273</t>
  </si>
  <si>
    <t>YT7628451803674</t>
  </si>
  <si>
    <t>Patience Love</t>
  </si>
  <si>
    <t>JT3167603928716</t>
  </si>
  <si>
    <t>YT7628476850246</t>
  </si>
  <si>
    <t>Obeng Kingsford</t>
  </si>
  <si>
    <t>[not recevied]</t>
  </si>
  <si>
    <t>YT88780004375</t>
  </si>
  <si>
    <t>Hamalina</t>
  </si>
  <si>
    <t>JT3167849551753</t>
  </si>
  <si>
    <t>JDVE18217646667</t>
  </si>
  <si>
    <t>JDVE1821766667</t>
  </si>
  <si>
    <t>YT2589901866908</t>
  </si>
  <si>
    <t>YT7628767335010</t>
  </si>
  <si>
    <t>YT7628753538054</t>
  </si>
  <si>
    <t>microsope</t>
  </si>
  <si>
    <t>Josiee beauty</t>
  </si>
  <si>
    <t>SF1571060073053</t>
  </si>
  <si>
    <t>Eunice Arthur</t>
  </si>
  <si>
    <t>YT7629475358151</t>
  </si>
  <si>
    <t>air</t>
  </si>
  <si>
    <t>YT7628269663251</t>
  </si>
  <si>
    <t>JT3167917775974</t>
  </si>
  <si>
    <t>YT7628484547626</t>
  </si>
  <si>
    <t>Danquah Grace</t>
  </si>
  <si>
    <t>Afa Body</t>
  </si>
  <si>
    <t>SF0219454251324</t>
  </si>
  <si>
    <t>JT13168088701398</t>
  </si>
  <si>
    <t>Betty Plange</t>
  </si>
  <si>
    <t>JT3168321668590</t>
  </si>
  <si>
    <t>YT7629965195037</t>
  </si>
  <si>
    <t>Tilly Bamfo</t>
  </si>
  <si>
    <t>YT7629812131348</t>
  </si>
  <si>
    <t>1 small box</t>
  </si>
  <si>
    <t>Air [arrived]</t>
  </si>
  <si>
    <t>air[arrived]</t>
  </si>
  <si>
    <t>Elijah Obeng Darkwah</t>
  </si>
  <si>
    <t>5 box/drone</t>
  </si>
  <si>
    <t>Yaw Barimah</t>
  </si>
  <si>
    <t>SF0219352701396</t>
  </si>
  <si>
    <t>AIR</t>
  </si>
  <si>
    <t>Prince Nyarko</t>
  </si>
  <si>
    <t>SEA</t>
  </si>
  <si>
    <t>Karthy U</t>
  </si>
  <si>
    <t>1 box liquid</t>
  </si>
  <si>
    <t>YT7630508598675</t>
  </si>
  <si>
    <t>1 pack 2 phones</t>
  </si>
  <si>
    <t>1 medical scrub</t>
  </si>
  <si>
    <t>YT7629692823515</t>
  </si>
  <si>
    <t>(Unknown)</t>
  </si>
  <si>
    <t>Mary sowah</t>
  </si>
  <si>
    <t>YT7630408012886</t>
  </si>
  <si>
    <t>Silvia</t>
  </si>
  <si>
    <t>3 boxes</t>
  </si>
  <si>
    <t>2 boxes</t>
  </si>
  <si>
    <t>JDX056174499525</t>
  </si>
  <si>
    <t>JT3169065938096</t>
  </si>
  <si>
    <t>Andrew Mante</t>
  </si>
  <si>
    <t>KK300136029282</t>
  </si>
  <si>
    <t>Diana Dede</t>
  </si>
  <si>
    <t>YT7631029691209</t>
  </si>
  <si>
    <t>Fiagbedzi Winifred</t>
  </si>
  <si>
    <t>JT3169127172702</t>
  </si>
  <si>
    <t>6 pcs of metal</t>
  </si>
  <si>
    <t>Mr. Alex</t>
  </si>
  <si>
    <t>JT5502601779070</t>
  </si>
  <si>
    <t>YT7631173964985</t>
  </si>
  <si>
    <t>Nathaniel Agbodzi</t>
  </si>
  <si>
    <t>YT7631037322964</t>
  </si>
  <si>
    <t>Sandra</t>
  </si>
  <si>
    <t>Skylift Solution</t>
  </si>
  <si>
    <t>Frank Agyemang- skylift</t>
  </si>
  <si>
    <t>Katrice Brown</t>
  </si>
  <si>
    <t>1 Laptop</t>
  </si>
  <si>
    <t>Malcom Mills</t>
  </si>
  <si>
    <t>Winifred Fiagbedzi</t>
  </si>
  <si>
    <t>YT7631404334198</t>
  </si>
  <si>
    <t>JT3169058722168</t>
  </si>
  <si>
    <t>Grunitzky</t>
  </si>
  <si>
    <t>Tiles</t>
  </si>
  <si>
    <t xml:space="preserve">Maa Linda </t>
  </si>
  <si>
    <t>Henry Mark Yalley</t>
  </si>
  <si>
    <t>KY4001078616255</t>
  </si>
  <si>
    <t>2 Audio Equip</t>
  </si>
  <si>
    <t>YT76310232973189</t>
  </si>
  <si>
    <t>Emmauel Amo Afrah</t>
  </si>
  <si>
    <t>Glady Mensah</t>
  </si>
  <si>
    <t>JYM800113972441</t>
  </si>
  <si>
    <t>Phone</t>
  </si>
  <si>
    <t>ZY20245798676</t>
  </si>
  <si>
    <t>2Box speakers</t>
  </si>
  <si>
    <t>1 tool box</t>
  </si>
  <si>
    <t>1/women bags</t>
  </si>
  <si>
    <t>skylift</t>
  </si>
  <si>
    <t>12 boxes</t>
  </si>
  <si>
    <t>JYM18805964749</t>
  </si>
  <si>
    <t>Eunice Authur</t>
  </si>
  <si>
    <t>SF5114231834023</t>
  </si>
  <si>
    <t>washing machine</t>
  </si>
  <si>
    <t>YT7631562008678</t>
  </si>
  <si>
    <t>hair straightener</t>
  </si>
  <si>
    <t>Janet Akyaa</t>
  </si>
  <si>
    <t>1 pack of cloths</t>
  </si>
  <si>
    <t>1-drum set</t>
  </si>
  <si>
    <t>JT3169398373144</t>
  </si>
  <si>
    <t>1 pack of hair</t>
  </si>
  <si>
    <t>Emmanuel Amo Afrah</t>
  </si>
  <si>
    <t>SF0215794749502</t>
  </si>
  <si>
    <t>1 glass cup</t>
  </si>
  <si>
    <t>SF1561949513874</t>
  </si>
  <si>
    <t>1 passport holder</t>
  </si>
  <si>
    <t>Kwaku Jay</t>
  </si>
  <si>
    <t>JT3169604372122</t>
  </si>
  <si>
    <t>1 pcs of cloth</t>
  </si>
  <si>
    <t>YT7631800226521</t>
  </si>
  <si>
    <t>1 pcs lacoste bag</t>
  </si>
  <si>
    <t>1 box camera</t>
  </si>
  <si>
    <t>1 box piano</t>
  </si>
  <si>
    <t>JT3169422317265</t>
  </si>
  <si>
    <t>1 pcs</t>
  </si>
  <si>
    <t>1 sack T-shirt</t>
  </si>
  <si>
    <t>1 box speaker</t>
  </si>
  <si>
    <t>1 box car washing machine</t>
  </si>
  <si>
    <t>SF2065233266802</t>
  </si>
  <si>
    <t>10 Toy car</t>
  </si>
  <si>
    <t>SF0214604992125</t>
  </si>
  <si>
    <t>1 pc toiletry bag</t>
  </si>
  <si>
    <t xml:space="preserve">1 box television  </t>
  </si>
  <si>
    <t>4 box</t>
  </si>
  <si>
    <t>1 pc camera stand</t>
  </si>
  <si>
    <t>1 pc phone gadgets</t>
  </si>
  <si>
    <t>1 box stand</t>
  </si>
  <si>
    <t>5 box insulated box</t>
  </si>
  <si>
    <t>Unknown</t>
  </si>
  <si>
    <t>1 box mirror surface</t>
  </si>
  <si>
    <t>1 box wireless micro</t>
  </si>
  <si>
    <t>Emmanuel Afran</t>
  </si>
  <si>
    <t>boxes</t>
  </si>
  <si>
    <t>DPK264483612851</t>
  </si>
  <si>
    <t>DPK212678121569</t>
  </si>
  <si>
    <t xml:space="preserve">1 sack </t>
  </si>
  <si>
    <t>1 sack</t>
  </si>
  <si>
    <t>XS</t>
  </si>
  <si>
    <t>YT7631840644431</t>
  </si>
  <si>
    <t>Unknown name</t>
  </si>
  <si>
    <t>JT316210572371</t>
  </si>
  <si>
    <t>S71709893903001</t>
  </si>
  <si>
    <t>1 Perfume</t>
  </si>
  <si>
    <t>1 pack</t>
  </si>
  <si>
    <t>water ripple storage</t>
  </si>
  <si>
    <t>microphone holder</t>
  </si>
  <si>
    <t>Romeo</t>
  </si>
  <si>
    <t>Asamoah</t>
  </si>
  <si>
    <t>cloths</t>
  </si>
  <si>
    <t>JT3169926451050</t>
  </si>
  <si>
    <t>water bottles</t>
  </si>
  <si>
    <t>1 pack cosmestics</t>
  </si>
  <si>
    <t>1 pc cloths</t>
  </si>
  <si>
    <t>2 boxes bags</t>
  </si>
  <si>
    <t>1 pack of soap</t>
  </si>
  <si>
    <t>Stella Sam</t>
  </si>
  <si>
    <t>1 box cosmestic</t>
  </si>
  <si>
    <t>vocal machine</t>
  </si>
  <si>
    <t>Junior</t>
  </si>
  <si>
    <t xml:space="preserve">1 pc phone </t>
  </si>
  <si>
    <t>BLM Moussy</t>
  </si>
  <si>
    <t>JT3169210572371</t>
  </si>
  <si>
    <t>JT3169210188580</t>
  </si>
  <si>
    <t>JT3169210188591</t>
  </si>
  <si>
    <t>JT3169210047019</t>
  </si>
  <si>
    <t>boil the kettle</t>
  </si>
  <si>
    <t>XF006816769</t>
  </si>
  <si>
    <t>fill light</t>
  </si>
  <si>
    <t>Patricia Baffoe</t>
  </si>
  <si>
    <t>wig</t>
  </si>
  <si>
    <t>JT3170207039175</t>
  </si>
  <si>
    <t>shampoo</t>
  </si>
  <si>
    <t>bottle</t>
  </si>
  <si>
    <t>XF0066556597</t>
  </si>
  <si>
    <t>Tripod</t>
  </si>
  <si>
    <t>Foster</t>
  </si>
  <si>
    <t>JT5505109801176</t>
  </si>
  <si>
    <t>1 box mouse</t>
  </si>
  <si>
    <t>Arinna Atta</t>
  </si>
  <si>
    <t xml:space="preserve">hair </t>
  </si>
  <si>
    <t>table</t>
  </si>
  <si>
    <t>sun set lamp</t>
  </si>
  <si>
    <t>Paper roll</t>
  </si>
  <si>
    <t>Arianna Atta</t>
  </si>
  <si>
    <t>JT3170127647729</t>
  </si>
  <si>
    <t>BN55400021728514</t>
  </si>
  <si>
    <t>BN55400021729063</t>
  </si>
  <si>
    <t>YT7632704700609</t>
  </si>
  <si>
    <t>YT7632628420762</t>
  </si>
  <si>
    <t>YT7632703865521</t>
  </si>
  <si>
    <t>YT7632652193966</t>
  </si>
  <si>
    <t>3 box of bags</t>
  </si>
  <si>
    <t>XF0068106769</t>
  </si>
  <si>
    <t>YT7632779872674</t>
  </si>
  <si>
    <t>JT3170117506225</t>
  </si>
  <si>
    <t>YT7632235601266</t>
  </si>
  <si>
    <t>JT31702527725831</t>
  </si>
  <si>
    <t>JT3170267504446</t>
  </si>
  <si>
    <t>SF1899365020001</t>
  </si>
  <si>
    <t>Gurinzky</t>
  </si>
  <si>
    <t>Bismark</t>
  </si>
  <si>
    <t>Bernard</t>
  </si>
  <si>
    <t>1 sack bag</t>
  </si>
  <si>
    <t>1 bos</t>
  </si>
  <si>
    <t>1 pack bag</t>
  </si>
  <si>
    <t>laptop stand</t>
  </si>
  <si>
    <t>1 box wig</t>
  </si>
  <si>
    <t>Toy</t>
  </si>
  <si>
    <t>1 box soap</t>
  </si>
  <si>
    <t>1 1box hairband</t>
  </si>
  <si>
    <t>1 box hairband</t>
  </si>
  <si>
    <t>Chair</t>
  </si>
  <si>
    <t>Audrey</t>
  </si>
  <si>
    <t>SF1559283500498</t>
  </si>
  <si>
    <t>Anita Kubge</t>
  </si>
  <si>
    <t>1 sack/childern cloths</t>
  </si>
  <si>
    <t>YT632746104698</t>
  </si>
  <si>
    <t>Hand bag</t>
  </si>
  <si>
    <t>YT7632733107686</t>
  </si>
  <si>
    <t>Headband</t>
  </si>
  <si>
    <t>Naabenacash</t>
  </si>
  <si>
    <t>Augustina</t>
  </si>
  <si>
    <t>SF157821306613</t>
  </si>
  <si>
    <t>Wig</t>
  </si>
  <si>
    <t>Marton</t>
  </si>
  <si>
    <t>1 box/Grout sealand</t>
  </si>
  <si>
    <t>YT7632802020245</t>
  </si>
  <si>
    <t>Milk powder</t>
  </si>
  <si>
    <t xml:space="preserve">Afa body </t>
  </si>
  <si>
    <t>SF511654496300</t>
  </si>
  <si>
    <t>Computer desk</t>
  </si>
  <si>
    <t xml:space="preserve">2 boxes </t>
  </si>
  <si>
    <t>1kg</t>
  </si>
  <si>
    <t>DPK202781165838</t>
  </si>
  <si>
    <t>Felix</t>
  </si>
  <si>
    <t>JT5507281823106</t>
  </si>
  <si>
    <t>YT8887592186089</t>
  </si>
  <si>
    <t>Bismark Dankwah</t>
  </si>
  <si>
    <t>YT7633577072352</t>
  </si>
  <si>
    <t>YT8887607582138</t>
  </si>
  <si>
    <t xml:space="preserve">Foster </t>
  </si>
  <si>
    <t>YT7633613877675</t>
  </si>
  <si>
    <t>lvy Quarshigah</t>
  </si>
  <si>
    <t>YT8887515345212</t>
  </si>
  <si>
    <t>1 box table</t>
  </si>
  <si>
    <t>Festus</t>
  </si>
  <si>
    <t>JT0024598445815</t>
  </si>
  <si>
    <t>`</t>
  </si>
  <si>
    <t>YT8888180090092</t>
  </si>
  <si>
    <t>1 pc shower jelly</t>
  </si>
  <si>
    <t>1 pc medical scrub suit</t>
  </si>
  <si>
    <t xml:space="preserve">Felix </t>
  </si>
  <si>
    <t>SF5159925223776</t>
  </si>
  <si>
    <t>2 pcs tables</t>
  </si>
  <si>
    <t>SF51599252215510</t>
  </si>
  <si>
    <t>YT7633774351463</t>
  </si>
  <si>
    <t>1 box perfume</t>
  </si>
  <si>
    <t>1 pcs perfume</t>
  </si>
  <si>
    <t>1 pcs cups</t>
  </si>
  <si>
    <t>YT7633840143703</t>
  </si>
  <si>
    <t>1 pc</t>
  </si>
  <si>
    <t>Rohi Ventures</t>
  </si>
  <si>
    <t>SF5111854114737</t>
  </si>
  <si>
    <t>1 box printer</t>
  </si>
  <si>
    <t>2 ps</t>
  </si>
  <si>
    <t>Eugenia</t>
  </si>
  <si>
    <t>1 mini handy fan</t>
  </si>
  <si>
    <t>Daniel Akpalu</t>
  </si>
  <si>
    <t xml:space="preserve">YT7633949544445 </t>
  </si>
  <si>
    <t>1 pc earbud</t>
  </si>
  <si>
    <t>YT7633900256459</t>
  </si>
  <si>
    <t>1 pc T-shirts</t>
  </si>
  <si>
    <t>YT7633225581346</t>
  </si>
  <si>
    <t>2 pcs</t>
  </si>
  <si>
    <t>YT763352907611</t>
  </si>
  <si>
    <t>1 box cookware</t>
  </si>
  <si>
    <t>YT7634089583949</t>
  </si>
  <si>
    <t>1 box rice cooker</t>
  </si>
  <si>
    <t>YT7633936869779</t>
  </si>
  <si>
    <t>SF159286094127</t>
  </si>
  <si>
    <t>YT8889218044061</t>
  </si>
  <si>
    <t>1 pc kettle</t>
  </si>
  <si>
    <t>STL130008620443</t>
  </si>
  <si>
    <t>1 box blender</t>
  </si>
  <si>
    <t>2 boxes body shaper</t>
  </si>
  <si>
    <t>khadija</t>
  </si>
  <si>
    <t>JT5508614462999</t>
  </si>
  <si>
    <t>JT55058059706794</t>
  </si>
  <si>
    <t>JT5508138633099</t>
  </si>
  <si>
    <t>JT3171355030933</t>
  </si>
  <si>
    <t>JT5508081838195</t>
  </si>
  <si>
    <t>JT5508336873057</t>
  </si>
  <si>
    <t>JT5508072937241</t>
  </si>
  <si>
    <t>JT5508139233383</t>
  </si>
  <si>
    <t>Naalam</t>
  </si>
  <si>
    <t>YT634239256758</t>
  </si>
  <si>
    <t>YT8889863209879</t>
  </si>
  <si>
    <t>Daniel seden</t>
  </si>
  <si>
    <t>YT8889327551492</t>
  </si>
  <si>
    <t>YT8889425673814</t>
  </si>
  <si>
    <t>YT8889255596138</t>
  </si>
  <si>
    <t>1 pc earings</t>
  </si>
  <si>
    <t>YT8889361322896</t>
  </si>
  <si>
    <t>YT8889374135513</t>
  </si>
  <si>
    <t>YT8889391784484</t>
  </si>
  <si>
    <t>YT8889877945819</t>
  </si>
  <si>
    <t>YT88898626434802</t>
  </si>
  <si>
    <t>Zeena Bansi</t>
  </si>
  <si>
    <t>YT7634502246914</t>
  </si>
  <si>
    <t>JT5508034462671</t>
  </si>
  <si>
    <t>Winifred</t>
  </si>
  <si>
    <t>Daneil Akpalu</t>
  </si>
  <si>
    <t>SF5159312630428</t>
  </si>
  <si>
    <t>Printer</t>
  </si>
  <si>
    <t>YT8889248126182</t>
  </si>
  <si>
    <t>YT8889270836677</t>
  </si>
  <si>
    <t>KK</t>
  </si>
  <si>
    <t>KHadija</t>
  </si>
  <si>
    <t>Ai</t>
  </si>
  <si>
    <t>Daniel sedem Akpalu</t>
  </si>
  <si>
    <t>Handcream</t>
  </si>
  <si>
    <t>Women bags</t>
  </si>
  <si>
    <t>Henry Mark Halley</t>
  </si>
  <si>
    <t>YT7634806165285</t>
  </si>
  <si>
    <t>Clothes</t>
  </si>
  <si>
    <t>YT8889294795620</t>
  </si>
  <si>
    <t>YT7634562666994</t>
  </si>
  <si>
    <t>YT634662365508</t>
  </si>
  <si>
    <t>YT7635562100277</t>
  </si>
  <si>
    <t>Shamsiya Ibrahim</t>
  </si>
  <si>
    <t>Bismark Asamoah</t>
  </si>
  <si>
    <t>YT7635477375591</t>
  </si>
  <si>
    <t>YT7635542272613</t>
  </si>
  <si>
    <t>YT7635563703611</t>
  </si>
  <si>
    <t>JT3172039751427</t>
  </si>
  <si>
    <t>Cloths</t>
  </si>
  <si>
    <t>1 box bags</t>
  </si>
  <si>
    <t>1 pc bags</t>
  </si>
  <si>
    <t>1 pack bleach</t>
  </si>
  <si>
    <t>speed limit</t>
  </si>
  <si>
    <t>JT5512176941446</t>
  </si>
  <si>
    <t>Emmanuel Addision</t>
  </si>
  <si>
    <t>BIG GOD</t>
  </si>
  <si>
    <t>JT551294964280</t>
  </si>
  <si>
    <t>Jemima</t>
  </si>
  <si>
    <t>YT3461744349150</t>
  </si>
  <si>
    <t>JT3172575057223</t>
  </si>
  <si>
    <t xml:space="preserve"> 1 pc table lamp</t>
  </si>
  <si>
    <t>1 box tissue</t>
  </si>
  <si>
    <t>YT7636376822744</t>
  </si>
  <si>
    <t>1 box wipes</t>
  </si>
  <si>
    <t>Andy Amoako</t>
  </si>
  <si>
    <t>YT8892191298637</t>
  </si>
  <si>
    <t>YT0700901972026</t>
  </si>
  <si>
    <t>Gyamfi Barrack</t>
  </si>
  <si>
    <t>1 box shoes</t>
  </si>
  <si>
    <t>1 pc clothes</t>
  </si>
  <si>
    <t>YT070070554359</t>
  </si>
  <si>
    <t>1 pc cap</t>
  </si>
  <si>
    <t>YT0700113014912</t>
  </si>
  <si>
    <t>1 pc clotes</t>
  </si>
  <si>
    <t>2 boxes pan</t>
  </si>
  <si>
    <t>5 pcs shoes</t>
  </si>
  <si>
    <t>4 pcs</t>
  </si>
  <si>
    <t>YT0700153470460</t>
  </si>
  <si>
    <t>JT5510538368456</t>
  </si>
  <si>
    <t>6 pcs</t>
  </si>
  <si>
    <t>YT0700129609894</t>
  </si>
  <si>
    <t>YT0700186730827</t>
  </si>
  <si>
    <t>YT070092594735</t>
  </si>
  <si>
    <t>Seth O.A</t>
  </si>
  <si>
    <t>11 boxes</t>
  </si>
  <si>
    <t xml:space="preserve"> Franklin Adjei</t>
  </si>
  <si>
    <t>Felix Kobina</t>
  </si>
  <si>
    <t>Bottles</t>
  </si>
  <si>
    <t>Mandy Afa body</t>
  </si>
  <si>
    <t>DPK20279279054</t>
  </si>
  <si>
    <t>JDAP20531304029</t>
  </si>
  <si>
    <t>Johnson Andy</t>
  </si>
  <si>
    <t>DPK212587149792</t>
  </si>
  <si>
    <t>Jackson</t>
  </si>
  <si>
    <t>YT7636923212880</t>
  </si>
  <si>
    <t>JT3172863848270</t>
  </si>
  <si>
    <t>JT3172863989229</t>
  </si>
  <si>
    <t>JT3172864118473</t>
  </si>
  <si>
    <t>JT3172863898070</t>
  </si>
  <si>
    <t>JT3172864282519</t>
  </si>
  <si>
    <t>Edna Kyei</t>
  </si>
  <si>
    <t>YT7637083457814</t>
  </si>
  <si>
    <t>Coco Kausa</t>
  </si>
  <si>
    <t>JT3173234383159</t>
  </si>
  <si>
    <t>Ernest Apau</t>
  </si>
  <si>
    <t>YT7637524033852</t>
  </si>
  <si>
    <t>Ultra comm motor</t>
  </si>
  <si>
    <t>22 pcs electric bikes</t>
  </si>
  <si>
    <t>YT7637835024682</t>
  </si>
  <si>
    <t>1 pc fan</t>
  </si>
  <si>
    <t>3 box ladies bags</t>
  </si>
  <si>
    <t>JT3173298239438</t>
  </si>
  <si>
    <t>1 pc bed sheet</t>
  </si>
  <si>
    <t>Aisha Adam</t>
  </si>
  <si>
    <t>SF0211096439384</t>
  </si>
  <si>
    <t>YT7637500218604</t>
  </si>
  <si>
    <t xml:space="preserve"> Big GOD</t>
  </si>
  <si>
    <t>YT773435966256395</t>
  </si>
  <si>
    <t>1 pc trolley</t>
  </si>
  <si>
    <t>1 box coffee</t>
  </si>
  <si>
    <t>Johnson Adu Nyarko</t>
  </si>
  <si>
    <t>SF204503303392</t>
  </si>
  <si>
    <t>2-box rice cooker</t>
  </si>
  <si>
    <t>SF1555168896373</t>
  </si>
  <si>
    <t>David Dontoh</t>
  </si>
  <si>
    <t>YT8893688419731</t>
  </si>
  <si>
    <t>Moussy</t>
  </si>
  <si>
    <t>1 oatmeal</t>
  </si>
  <si>
    <t xml:space="preserve">YT7637921442875 </t>
  </si>
  <si>
    <t xml:space="preserve">2 box </t>
  </si>
  <si>
    <t>YT7637919819115</t>
  </si>
  <si>
    <t xml:space="preserve">Lemuel Osofo </t>
  </si>
  <si>
    <t>YT7637966886340</t>
  </si>
  <si>
    <t>3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</si>
</sst>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F800]dddd\,\ mmmm\ dd\,\ 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Bahnschrift"/>
      <family val="2"/>
    </font>
    <font>
      <b/>
      <sz val="18"/>
      <color rgb="FFFF0000"/>
      <name val="Bahnschrift"/>
      <family val="2"/>
    </font>
    <font>
      <b/>
      <sz val="18"/>
      <color rgb="FFFF0000"/>
      <name val="Calibri"/>
      <family val="2"/>
      <scheme val="minor"/>
    </font>
    <font>
      <sz val="18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8"/>
      <color theme="9"/>
      <name val="Calibri"/>
      <family val="2"/>
      <scheme val="minor"/>
    </font>
    <font>
      <b/>
      <sz val="1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Bahnschrift"/>
      <family val="2"/>
    </font>
    <font>
      <b/>
      <sz val="14"/>
      <color rgb="FFFF0000"/>
      <name val="Bahnschrift"/>
      <family val="2"/>
    </font>
    <font>
      <sz val="11"/>
      <color theme="0"/>
      <name val="Calibri"/>
      <family val="2"/>
      <scheme val="minor"/>
    </font>
    <font>
      <sz val="14"/>
      <color theme="6" tint="0.59999389629810485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6" fillId="13" borderId="0" applyNumberFormat="0" applyBorder="0" applyAlignment="0" applyProtection="0"/>
  </cellStyleXfs>
  <cellXfs count="197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5" fillId="0" borderId="0" xfId="0" applyFont="1" applyAlignment="1">
      <alignment vertical="center"/>
    </xf>
    <xf numFmtId="0" fontId="5" fillId="2" borderId="15" xfId="0" applyFont="1" applyFill="1" applyBorder="1" applyAlignment="1">
      <alignment vertical="center"/>
    </xf>
    <xf numFmtId="1" fontId="5" fillId="2" borderId="13" xfId="1" applyNumberFormat="1" applyFont="1" applyFill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0" fontId="5" fillId="2" borderId="13" xfId="0" applyFont="1" applyFill="1" applyBorder="1" applyAlignment="1">
      <alignment vertical="center" wrapText="1"/>
    </xf>
    <xf numFmtId="164" fontId="5" fillId="2" borderId="14" xfId="0" applyNumberFormat="1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2" fontId="5" fillId="2" borderId="14" xfId="0" applyNumberFormat="1" applyFont="1" applyFill="1" applyBorder="1" applyAlignment="1">
      <alignment vertical="center"/>
    </xf>
    <xf numFmtId="2" fontId="5" fillId="2" borderId="14" xfId="0" applyNumberFormat="1" applyFont="1" applyFill="1" applyBorder="1" applyAlignment="1">
      <alignment vertical="center" wrapText="1"/>
    </xf>
    <xf numFmtId="0" fontId="5" fillId="2" borderId="14" xfId="0" applyFont="1" applyFill="1" applyBorder="1" applyAlignment="1">
      <alignment vertical="center" wrapText="1"/>
    </xf>
    <xf numFmtId="0" fontId="5" fillId="2" borderId="16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2" fillId="3" borderId="7" xfId="0" applyFont="1" applyFill="1" applyBorder="1"/>
    <xf numFmtId="0" fontId="3" fillId="3" borderId="9" xfId="0" applyFont="1" applyFill="1" applyBorder="1"/>
    <xf numFmtId="1" fontId="3" fillId="3" borderId="9" xfId="1" applyNumberFormat="1" applyFont="1" applyFill="1" applyBorder="1" applyAlignment="1">
      <alignment horizontal="left" vertical="top"/>
    </xf>
    <xf numFmtId="164" fontId="2" fillId="3" borderId="7" xfId="0" applyNumberFormat="1" applyFont="1" applyFill="1" applyBorder="1" applyAlignment="1">
      <alignment horizontal="center"/>
    </xf>
    <xf numFmtId="2" fontId="2" fillId="3" borderId="7" xfId="0" applyNumberFormat="1" applyFont="1" applyFill="1" applyBorder="1"/>
    <xf numFmtId="0" fontId="2" fillId="3" borderId="8" xfId="0" applyFont="1" applyFill="1" applyBorder="1"/>
    <xf numFmtId="0" fontId="7" fillId="4" borderId="0" xfId="0" applyFont="1" applyFill="1"/>
    <xf numFmtId="164" fontId="2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0" fontId="4" fillId="4" borderId="0" xfId="0" applyFont="1" applyFill="1"/>
    <xf numFmtId="2" fontId="3" fillId="3" borderId="9" xfId="0" applyNumberFormat="1" applyFont="1" applyFill="1" applyBorder="1"/>
    <xf numFmtId="2" fontId="2" fillId="3" borderId="8" xfId="0" applyNumberFormat="1" applyFont="1" applyFill="1" applyBorder="1"/>
    <xf numFmtId="2" fontId="4" fillId="4" borderId="0" xfId="0" applyNumberFormat="1" applyFont="1" applyFill="1"/>
    <xf numFmtId="0" fontId="3" fillId="3" borderId="10" xfId="0" applyFont="1" applyFill="1" applyBorder="1"/>
    <xf numFmtId="164" fontId="2" fillId="3" borderId="11" xfId="0" applyNumberFormat="1" applyFont="1" applyFill="1" applyBorder="1" applyAlignment="1">
      <alignment horizontal="center"/>
    </xf>
    <xf numFmtId="0" fontId="2" fillId="3" borderId="11" xfId="0" applyFont="1" applyFill="1" applyBorder="1"/>
    <xf numFmtId="2" fontId="2" fillId="3" borderId="11" xfId="0" applyNumberFormat="1" applyFont="1" applyFill="1" applyBorder="1"/>
    <xf numFmtId="0" fontId="2" fillId="3" borderId="12" xfId="0" applyFont="1" applyFill="1" applyBorder="1"/>
    <xf numFmtId="1" fontId="3" fillId="3" borderId="7" xfId="1" applyNumberFormat="1" applyFont="1" applyFill="1" applyBorder="1" applyAlignment="1">
      <alignment horizontal="left" vertical="top"/>
    </xf>
    <xf numFmtId="0" fontId="3" fillId="3" borderId="7" xfId="0" applyFont="1" applyFill="1" applyBorder="1"/>
    <xf numFmtId="0" fontId="4" fillId="4" borderId="7" xfId="0" applyFont="1" applyFill="1" applyBorder="1"/>
    <xf numFmtId="0" fontId="3" fillId="5" borderId="9" xfId="0" applyFont="1" applyFill="1" applyBorder="1"/>
    <xf numFmtId="1" fontId="3" fillId="5" borderId="9" xfId="1" applyNumberFormat="1" applyFont="1" applyFill="1" applyBorder="1" applyAlignment="1">
      <alignment horizontal="left" vertical="top"/>
    </xf>
    <xf numFmtId="164" fontId="2" fillId="5" borderId="7" xfId="0" applyNumberFormat="1" applyFont="1" applyFill="1" applyBorder="1" applyAlignment="1">
      <alignment horizontal="center"/>
    </xf>
    <xf numFmtId="164" fontId="2" fillId="5" borderId="7" xfId="0" applyNumberFormat="1" applyFont="1" applyFill="1" applyBorder="1"/>
    <xf numFmtId="0" fontId="2" fillId="5" borderId="7" xfId="0" applyFont="1" applyFill="1" applyBorder="1"/>
    <xf numFmtId="2" fontId="2" fillId="5" borderId="7" xfId="0" applyNumberFormat="1" applyFont="1" applyFill="1" applyBorder="1"/>
    <xf numFmtId="0" fontId="2" fillId="5" borderId="8" xfId="0" applyFont="1" applyFill="1" applyBorder="1"/>
    <xf numFmtId="0" fontId="7" fillId="5" borderId="0" xfId="0" applyFont="1" applyFill="1"/>
    <xf numFmtId="0" fontId="2" fillId="5" borderId="0" xfId="0" applyFont="1" applyFill="1"/>
    <xf numFmtId="0" fontId="2" fillId="5" borderId="3" xfId="0" applyFont="1" applyFill="1" applyBorder="1"/>
    <xf numFmtId="0" fontId="2" fillId="5" borderId="4" xfId="0" applyFont="1" applyFill="1" applyBorder="1"/>
    <xf numFmtId="0" fontId="2" fillId="5" borderId="5" xfId="0" applyFont="1" applyFill="1" applyBorder="1"/>
    <xf numFmtId="0" fontId="2" fillId="5" borderId="6" xfId="0" applyFont="1" applyFill="1" applyBorder="1"/>
    <xf numFmtId="0" fontId="2" fillId="6" borderId="0" xfId="0" applyFont="1" applyFill="1"/>
    <xf numFmtId="0" fontId="3" fillId="6" borderId="9" xfId="0" applyFont="1" applyFill="1" applyBorder="1"/>
    <xf numFmtId="1" fontId="3" fillId="6" borderId="9" xfId="1" applyNumberFormat="1" applyFont="1" applyFill="1" applyBorder="1" applyAlignment="1">
      <alignment horizontal="left" vertical="top"/>
    </xf>
    <xf numFmtId="164" fontId="2" fillId="6" borderId="7" xfId="0" applyNumberFormat="1" applyFont="1" applyFill="1" applyBorder="1" applyAlignment="1">
      <alignment horizontal="center"/>
    </xf>
    <xf numFmtId="0" fontId="2" fillId="6" borderId="7" xfId="0" applyFont="1" applyFill="1" applyBorder="1"/>
    <xf numFmtId="2" fontId="2" fillId="6" borderId="7" xfId="0" applyNumberFormat="1" applyFont="1" applyFill="1" applyBorder="1"/>
    <xf numFmtId="0" fontId="2" fillId="6" borderId="8" xfId="0" applyFont="1" applyFill="1" applyBorder="1"/>
    <xf numFmtId="0" fontId="4" fillId="6" borderId="0" xfId="0" applyFont="1" applyFill="1"/>
    <xf numFmtId="0" fontId="2" fillId="7" borderId="0" xfId="0" applyFont="1" applyFill="1"/>
    <xf numFmtId="0" fontId="3" fillId="7" borderId="9" xfId="0" applyFont="1" applyFill="1" applyBorder="1"/>
    <xf numFmtId="1" fontId="3" fillId="7" borderId="7" xfId="1" applyNumberFormat="1" applyFont="1" applyFill="1" applyBorder="1" applyAlignment="1">
      <alignment horizontal="left" vertical="top"/>
    </xf>
    <xf numFmtId="0" fontId="3" fillId="7" borderId="7" xfId="0" applyFont="1" applyFill="1" applyBorder="1"/>
    <xf numFmtId="164" fontId="2" fillId="7" borderId="7" xfId="0" applyNumberFormat="1" applyFont="1" applyFill="1" applyBorder="1" applyAlignment="1">
      <alignment horizontal="center"/>
    </xf>
    <xf numFmtId="0" fontId="2" fillId="7" borderId="7" xfId="0" applyFont="1" applyFill="1" applyBorder="1"/>
    <xf numFmtId="2" fontId="2" fillId="7" borderId="7" xfId="0" applyNumberFormat="1" applyFont="1" applyFill="1" applyBorder="1"/>
    <xf numFmtId="0" fontId="2" fillId="8" borderId="0" xfId="0" applyFont="1" applyFill="1"/>
    <xf numFmtId="0" fontId="3" fillId="8" borderId="9" xfId="0" applyFont="1" applyFill="1" applyBorder="1"/>
    <xf numFmtId="1" fontId="3" fillId="8" borderId="7" xfId="1" applyNumberFormat="1" applyFont="1" applyFill="1" applyBorder="1" applyAlignment="1">
      <alignment horizontal="left" vertical="top"/>
    </xf>
    <xf numFmtId="0" fontId="3" fillId="8" borderId="7" xfId="0" applyFont="1" applyFill="1" applyBorder="1"/>
    <xf numFmtId="164" fontId="2" fillId="8" borderId="7" xfId="0" applyNumberFormat="1" applyFont="1" applyFill="1" applyBorder="1" applyAlignment="1">
      <alignment horizontal="center"/>
    </xf>
    <xf numFmtId="0" fontId="2" fillId="8" borderId="7" xfId="0" applyFont="1" applyFill="1" applyBorder="1"/>
    <xf numFmtId="2" fontId="2" fillId="8" borderId="7" xfId="0" applyNumberFormat="1" applyFont="1" applyFill="1" applyBorder="1"/>
    <xf numFmtId="0" fontId="9" fillId="9" borderId="0" xfId="0" applyFont="1" applyFill="1"/>
    <xf numFmtId="0" fontId="10" fillId="9" borderId="9" xfId="0" applyFont="1" applyFill="1" applyBorder="1"/>
    <xf numFmtId="1" fontId="10" fillId="9" borderId="7" xfId="1" applyNumberFormat="1" applyFont="1" applyFill="1" applyBorder="1" applyAlignment="1">
      <alignment horizontal="left" vertical="top"/>
    </xf>
    <xf numFmtId="0" fontId="10" fillId="9" borderId="7" xfId="0" applyFont="1" applyFill="1" applyBorder="1"/>
    <xf numFmtId="164" fontId="9" fillId="9" borderId="7" xfId="0" applyNumberFormat="1" applyFont="1" applyFill="1" applyBorder="1" applyAlignment="1">
      <alignment horizontal="center"/>
    </xf>
    <xf numFmtId="0" fontId="9" fillId="9" borderId="7" xfId="0" applyFont="1" applyFill="1" applyBorder="1"/>
    <xf numFmtId="2" fontId="9" fillId="9" borderId="7" xfId="0" applyNumberFormat="1" applyFont="1" applyFill="1" applyBorder="1"/>
    <xf numFmtId="0" fontId="2" fillId="9" borderId="0" xfId="0" applyFont="1" applyFill="1"/>
    <xf numFmtId="0" fontId="3" fillId="9" borderId="9" xfId="0" applyFont="1" applyFill="1" applyBorder="1"/>
    <xf numFmtId="1" fontId="3" fillId="9" borderId="7" xfId="1" applyNumberFormat="1" applyFont="1" applyFill="1" applyBorder="1" applyAlignment="1">
      <alignment horizontal="left" vertical="top"/>
    </xf>
    <xf numFmtId="0" fontId="3" fillId="9" borderId="7" xfId="0" applyFont="1" applyFill="1" applyBorder="1"/>
    <xf numFmtId="164" fontId="2" fillId="9" borderId="7" xfId="0" applyNumberFormat="1" applyFont="1" applyFill="1" applyBorder="1" applyAlignment="1">
      <alignment horizontal="center"/>
    </xf>
    <xf numFmtId="0" fontId="2" fillId="9" borderId="7" xfId="0" applyFont="1" applyFill="1" applyBorder="1"/>
    <xf numFmtId="2" fontId="2" fillId="9" borderId="7" xfId="0" applyNumberFormat="1" applyFont="1" applyFill="1" applyBorder="1"/>
    <xf numFmtId="0" fontId="4" fillId="9" borderId="7" xfId="0" applyFont="1" applyFill="1" applyBorder="1"/>
    <xf numFmtId="0" fontId="8" fillId="9" borderId="9" xfId="0" applyFont="1" applyFill="1" applyBorder="1"/>
    <xf numFmtId="164" fontId="11" fillId="7" borderId="7" xfId="0" applyNumberFormat="1" applyFont="1" applyFill="1" applyBorder="1" applyAlignment="1">
      <alignment horizontal="center"/>
    </xf>
    <xf numFmtId="0" fontId="8" fillId="8" borderId="0" xfId="0" applyFont="1" applyFill="1"/>
    <xf numFmtId="0" fontId="12" fillId="8" borderId="9" xfId="0" applyFont="1" applyFill="1" applyBorder="1"/>
    <xf numFmtId="1" fontId="12" fillId="8" borderId="7" xfId="1" applyNumberFormat="1" applyFont="1" applyFill="1" applyBorder="1" applyAlignment="1">
      <alignment horizontal="left" vertical="top"/>
    </xf>
    <xf numFmtId="0" fontId="12" fillId="8" borderId="7" xfId="0" applyFont="1" applyFill="1" applyBorder="1"/>
    <xf numFmtId="164" fontId="8" fillId="8" borderId="7" xfId="0" applyNumberFormat="1" applyFont="1" applyFill="1" applyBorder="1" applyAlignment="1">
      <alignment horizontal="center"/>
    </xf>
    <xf numFmtId="0" fontId="8" fillId="8" borderId="7" xfId="0" applyFont="1" applyFill="1" applyBorder="1"/>
    <xf numFmtId="2" fontId="8" fillId="8" borderId="7" xfId="0" applyNumberFormat="1" applyFont="1" applyFill="1" applyBorder="1"/>
    <xf numFmtId="0" fontId="2" fillId="10" borderId="0" xfId="0" applyFont="1" applyFill="1"/>
    <xf numFmtId="0" fontId="3" fillId="10" borderId="9" xfId="0" applyFont="1" applyFill="1" applyBorder="1"/>
    <xf numFmtId="1" fontId="3" fillId="10" borderId="7" xfId="1" applyNumberFormat="1" applyFont="1" applyFill="1" applyBorder="1" applyAlignment="1">
      <alignment horizontal="left" vertical="top"/>
    </xf>
    <xf numFmtId="0" fontId="3" fillId="10" borderId="7" xfId="0" applyFont="1" applyFill="1" applyBorder="1"/>
    <xf numFmtId="164" fontId="2" fillId="10" borderId="7" xfId="0" applyNumberFormat="1" applyFont="1" applyFill="1" applyBorder="1" applyAlignment="1">
      <alignment horizontal="center"/>
    </xf>
    <xf numFmtId="0" fontId="2" fillId="10" borderId="7" xfId="0" applyFont="1" applyFill="1" applyBorder="1"/>
    <xf numFmtId="2" fontId="2" fillId="10" borderId="7" xfId="0" applyNumberFormat="1" applyFont="1" applyFill="1" applyBorder="1"/>
    <xf numFmtId="0" fontId="4" fillId="10" borderId="7" xfId="0" applyFont="1" applyFill="1" applyBorder="1"/>
    <xf numFmtId="0" fontId="14" fillId="0" borderId="0" xfId="0" applyFont="1" applyAlignment="1">
      <alignment vertical="center"/>
    </xf>
    <xf numFmtId="0" fontId="14" fillId="2" borderId="15" xfId="0" applyFont="1" applyFill="1" applyBorder="1" applyAlignment="1">
      <alignment vertical="center"/>
    </xf>
    <xf numFmtId="0" fontId="14" fillId="2" borderId="13" xfId="0" applyFont="1" applyFill="1" applyBorder="1" applyAlignment="1">
      <alignment vertical="center"/>
    </xf>
    <xf numFmtId="0" fontId="14" fillId="2" borderId="13" xfId="0" applyFont="1" applyFill="1" applyBorder="1" applyAlignment="1">
      <alignment vertical="center" wrapText="1"/>
    </xf>
    <xf numFmtId="164" fontId="14" fillId="2" borderId="14" xfId="0" applyNumberFormat="1" applyFont="1" applyFill="1" applyBorder="1" applyAlignment="1">
      <alignment vertical="center"/>
    </xf>
    <xf numFmtId="0" fontId="14" fillId="2" borderId="14" xfId="0" applyFont="1" applyFill="1" applyBorder="1" applyAlignment="1">
      <alignment vertical="center"/>
    </xf>
    <xf numFmtId="2" fontId="14" fillId="2" borderId="14" xfId="0" applyNumberFormat="1" applyFont="1" applyFill="1" applyBorder="1" applyAlignment="1">
      <alignment vertical="center"/>
    </xf>
    <xf numFmtId="2" fontId="14" fillId="2" borderId="14" xfId="0" applyNumberFormat="1" applyFont="1" applyFill="1" applyBorder="1" applyAlignment="1">
      <alignment vertical="center" wrapText="1"/>
    </xf>
    <xf numFmtId="0" fontId="14" fillId="2" borderId="14" xfId="0" applyFont="1" applyFill="1" applyBorder="1" applyAlignment="1">
      <alignment vertical="center" wrapText="1"/>
    </xf>
    <xf numFmtId="0" fontId="14" fillId="2" borderId="16" xfId="0" applyFont="1" applyFill="1" applyBorder="1" applyAlignment="1">
      <alignment vertical="center"/>
    </xf>
    <xf numFmtId="0" fontId="15" fillId="4" borderId="0" xfId="0" applyFont="1" applyFill="1" applyAlignment="1">
      <alignment vertical="center"/>
    </xf>
    <xf numFmtId="0" fontId="13" fillId="0" borderId="0" xfId="0" applyFont="1"/>
    <xf numFmtId="164" fontId="13" fillId="0" borderId="0" xfId="0" applyNumberFormat="1" applyFont="1"/>
    <xf numFmtId="1" fontId="13" fillId="0" borderId="0" xfId="0" applyNumberFormat="1" applyFont="1" applyAlignment="1">
      <alignment horizontal="left"/>
    </xf>
    <xf numFmtId="14" fontId="13" fillId="0" borderId="0" xfId="0" applyNumberFormat="1" applyFont="1"/>
    <xf numFmtId="1" fontId="14" fillId="2" borderId="13" xfId="1" applyNumberFormat="1" applyFont="1" applyFill="1" applyBorder="1" applyAlignment="1">
      <alignment horizontal="left" vertical="center"/>
    </xf>
    <xf numFmtId="14" fontId="15" fillId="4" borderId="0" xfId="0" applyNumberFormat="1" applyFont="1" applyFill="1" applyAlignment="1">
      <alignment vertical="center"/>
    </xf>
    <xf numFmtId="0" fontId="3" fillId="11" borderId="9" xfId="0" applyFont="1" applyFill="1" applyBorder="1"/>
    <xf numFmtId="1" fontId="3" fillId="11" borderId="7" xfId="1" applyNumberFormat="1" applyFont="1" applyFill="1" applyBorder="1" applyAlignment="1">
      <alignment horizontal="left" vertical="top"/>
    </xf>
    <xf numFmtId="0" fontId="3" fillId="11" borderId="7" xfId="0" applyFont="1" applyFill="1" applyBorder="1"/>
    <xf numFmtId="164" fontId="2" fillId="11" borderId="7" xfId="0" applyNumberFormat="1" applyFont="1" applyFill="1" applyBorder="1" applyAlignment="1">
      <alignment horizontal="center"/>
    </xf>
    <xf numFmtId="0" fontId="2" fillId="11" borderId="7" xfId="0" applyFont="1" applyFill="1" applyBorder="1"/>
    <xf numFmtId="2" fontId="2" fillId="11" borderId="7" xfId="0" applyNumberFormat="1" applyFont="1" applyFill="1" applyBorder="1"/>
    <xf numFmtId="0" fontId="4" fillId="11" borderId="0" xfId="0" applyFont="1" applyFill="1"/>
    <xf numFmtId="0" fontId="4" fillId="11" borderId="7" xfId="0" applyFont="1" applyFill="1" applyBorder="1"/>
    <xf numFmtId="0" fontId="2" fillId="11" borderId="0" xfId="0" applyFont="1" applyFill="1"/>
    <xf numFmtId="0" fontId="3" fillId="0" borderId="9" xfId="0" applyFont="1" applyBorder="1"/>
    <xf numFmtId="0" fontId="13" fillId="14" borderId="0" xfId="0" applyFont="1" applyFill="1"/>
    <xf numFmtId="1" fontId="13" fillId="14" borderId="0" xfId="0" applyNumberFormat="1" applyFont="1" applyFill="1" applyAlignment="1">
      <alignment horizontal="left"/>
    </xf>
    <xf numFmtId="164" fontId="13" fillId="14" borderId="0" xfId="0" applyNumberFormat="1" applyFont="1" applyFill="1"/>
    <xf numFmtId="14" fontId="13" fillId="14" borderId="0" xfId="0" applyNumberFormat="1" applyFont="1" applyFill="1"/>
    <xf numFmtId="0" fontId="16" fillId="14" borderId="0" xfId="2" applyFill="1"/>
    <xf numFmtId="0" fontId="13" fillId="15" borderId="0" xfId="0" applyFont="1" applyFill="1"/>
    <xf numFmtId="1" fontId="13" fillId="15" borderId="0" xfId="0" applyNumberFormat="1" applyFont="1" applyFill="1" applyAlignment="1">
      <alignment horizontal="left"/>
    </xf>
    <xf numFmtId="164" fontId="13" fillId="15" borderId="0" xfId="0" applyNumberFormat="1" applyFont="1" applyFill="1"/>
    <xf numFmtId="14" fontId="13" fillId="15" borderId="0" xfId="0" applyNumberFormat="1" applyFont="1" applyFill="1"/>
    <xf numFmtId="0" fontId="13" fillId="16" borderId="0" xfId="0" applyFont="1" applyFill="1"/>
    <xf numFmtId="1" fontId="13" fillId="16" borderId="0" xfId="0" applyNumberFormat="1" applyFont="1" applyFill="1" applyAlignment="1">
      <alignment horizontal="left"/>
    </xf>
    <xf numFmtId="164" fontId="13" fillId="16" borderId="0" xfId="0" applyNumberFormat="1" applyFont="1" applyFill="1"/>
    <xf numFmtId="14" fontId="13" fillId="16" borderId="0" xfId="0" applyNumberFormat="1" applyFont="1" applyFill="1"/>
    <xf numFmtId="0" fontId="13" fillId="7" borderId="0" xfId="0" applyFont="1" applyFill="1"/>
    <xf numFmtId="1" fontId="13" fillId="7" borderId="0" xfId="0" applyNumberFormat="1" applyFont="1" applyFill="1" applyAlignment="1">
      <alignment horizontal="left"/>
    </xf>
    <xf numFmtId="164" fontId="13" fillId="7" borderId="0" xfId="0" applyNumberFormat="1" applyFont="1" applyFill="1"/>
    <xf numFmtId="14" fontId="13" fillId="7" borderId="0" xfId="0" applyNumberFormat="1" applyFont="1" applyFill="1"/>
    <xf numFmtId="0" fontId="13" fillId="17" borderId="0" xfId="0" applyFont="1" applyFill="1"/>
    <xf numFmtId="1" fontId="13" fillId="17" borderId="0" xfId="0" applyNumberFormat="1" applyFont="1" applyFill="1" applyAlignment="1">
      <alignment horizontal="left"/>
    </xf>
    <xf numFmtId="164" fontId="13" fillId="17" borderId="0" xfId="0" applyNumberFormat="1" applyFont="1" applyFill="1"/>
    <xf numFmtId="14" fontId="13" fillId="17" borderId="0" xfId="0" applyNumberFormat="1" applyFont="1" applyFill="1"/>
    <xf numFmtId="0" fontId="17" fillId="12" borderId="0" xfId="0" applyFont="1" applyFill="1"/>
    <xf numFmtId="1" fontId="17" fillId="12" borderId="0" xfId="0" applyNumberFormat="1" applyFont="1" applyFill="1" applyAlignment="1">
      <alignment horizontal="left"/>
    </xf>
    <xf numFmtId="164" fontId="17" fillId="12" borderId="0" xfId="0" applyNumberFormat="1" applyFont="1" applyFill="1"/>
    <xf numFmtId="164" fontId="17" fillId="14" borderId="0" xfId="0" applyNumberFormat="1" applyFont="1" applyFill="1"/>
    <xf numFmtId="14" fontId="17" fillId="12" borderId="0" xfId="0" applyNumberFormat="1" applyFont="1" applyFill="1"/>
    <xf numFmtId="0" fontId="13" fillId="6" borderId="0" xfId="0" applyFont="1" applyFill="1"/>
    <xf numFmtId="1" fontId="13" fillId="6" borderId="0" xfId="0" applyNumberFormat="1" applyFont="1" applyFill="1" applyAlignment="1">
      <alignment horizontal="left"/>
    </xf>
    <xf numFmtId="164" fontId="13" fillId="6" borderId="0" xfId="0" applyNumberFormat="1" applyFont="1" applyFill="1"/>
    <xf numFmtId="14" fontId="13" fillId="6" borderId="0" xfId="0" applyNumberFormat="1" applyFont="1" applyFill="1"/>
    <xf numFmtId="0" fontId="13" fillId="18" borderId="0" xfId="0" applyFont="1" applyFill="1"/>
    <xf numFmtId="1" fontId="13" fillId="18" borderId="0" xfId="0" applyNumberFormat="1" applyFont="1" applyFill="1" applyAlignment="1">
      <alignment horizontal="left"/>
    </xf>
    <xf numFmtId="164" fontId="13" fillId="18" borderId="0" xfId="0" applyNumberFormat="1" applyFont="1" applyFill="1"/>
    <xf numFmtId="14" fontId="13" fillId="18" borderId="0" xfId="0" applyNumberFormat="1" applyFont="1" applyFill="1"/>
    <xf numFmtId="0" fontId="13" fillId="10" borderId="0" xfId="0" applyFont="1" applyFill="1"/>
    <xf numFmtId="1" fontId="13" fillId="10" borderId="0" xfId="0" applyNumberFormat="1" applyFont="1" applyFill="1" applyAlignment="1">
      <alignment horizontal="left"/>
    </xf>
    <xf numFmtId="164" fontId="13" fillId="10" borderId="0" xfId="0" applyNumberFormat="1" applyFont="1" applyFill="1"/>
    <xf numFmtId="14" fontId="13" fillId="10" borderId="0" xfId="0" applyNumberFormat="1" applyFont="1" applyFill="1"/>
    <xf numFmtId="0" fontId="3" fillId="19" borderId="9" xfId="0" applyFont="1" applyFill="1" applyBorder="1"/>
    <xf numFmtId="1" fontId="3" fillId="19" borderId="9" xfId="1" applyNumberFormat="1" applyFont="1" applyFill="1" applyBorder="1" applyAlignment="1">
      <alignment horizontal="left" vertical="top"/>
    </xf>
    <xf numFmtId="0" fontId="3" fillId="19" borderId="9" xfId="0" applyFont="1" applyFill="1" applyBorder="1" applyAlignment="1">
      <alignment vertical="center"/>
    </xf>
    <xf numFmtId="164" fontId="2" fillId="19" borderId="7" xfId="0" applyNumberFormat="1" applyFont="1" applyFill="1" applyBorder="1" applyAlignment="1">
      <alignment horizontal="center"/>
    </xf>
    <xf numFmtId="0" fontId="2" fillId="19" borderId="7" xfId="0" applyFont="1" applyFill="1" applyBorder="1"/>
    <xf numFmtId="2" fontId="2" fillId="19" borderId="7" xfId="0" applyNumberFormat="1" applyFont="1" applyFill="1" applyBorder="1"/>
    <xf numFmtId="0" fontId="2" fillId="19" borderId="8" xfId="0" applyFont="1" applyFill="1" applyBorder="1"/>
    <xf numFmtId="0" fontId="7" fillId="19" borderId="0" xfId="0" applyFont="1" applyFill="1"/>
    <xf numFmtId="0" fontId="2" fillId="19" borderId="0" xfId="0" applyFont="1" applyFill="1"/>
    <xf numFmtId="0" fontId="13" fillId="20" borderId="0" xfId="0" applyFont="1" applyFill="1"/>
    <xf numFmtId="1" fontId="13" fillId="20" borderId="0" xfId="0" applyNumberFormat="1" applyFont="1" applyFill="1" applyAlignment="1">
      <alignment horizontal="left"/>
    </xf>
    <xf numFmtId="164" fontId="13" fillId="20" borderId="0" xfId="0" applyNumberFormat="1" applyFont="1" applyFill="1"/>
    <xf numFmtId="14" fontId="13" fillId="20" borderId="0" xfId="0" applyNumberFormat="1" applyFont="1" applyFill="1"/>
    <xf numFmtId="0" fontId="18" fillId="2" borderId="0" xfId="0" applyFont="1" applyFill="1"/>
    <xf numFmtId="1" fontId="18" fillId="2" borderId="0" xfId="0" applyNumberFormat="1" applyFont="1" applyFill="1" applyAlignment="1">
      <alignment horizontal="left"/>
    </xf>
    <xf numFmtId="164" fontId="18" fillId="2" borderId="0" xfId="0" applyNumberFormat="1" applyFont="1" applyFill="1"/>
    <xf numFmtId="14" fontId="18" fillId="2" borderId="0" xfId="0" applyNumberFormat="1" applyFont="1" applyFill="1"/>
    <xf numFmtId="0" fontId="13" fillId="2" borderId="0" xfId="0" applyFont="1" applyFill="1"/>
    <xf numFmtId="1" fontId="13" fillId="2" borderId="0" xfId="0" applyNumberFormat="1" applyFont="1" applyFill="1" applyAlignment="1">
      <alignment horizontal="left"/>
    </xf>
    <xf numFmtId="164" fontId="13" fillId="2" borderId="0" xfId="0" applyNumberFormat="1" applyFont="1" applyFill="1"/>
    <xf numFmtId="14" fontId="13" fillId="2" borderId="0" xfId="0" applyNumberFormat="1" applyFont="1" applyFill="1"/>
    <xf numFmtId="0" fontId="13" fillId="21" borderId="0" xfId="0" applyFont="1" applyFill="1"/>
    <xf numFmtId="1" fontId="13" fillId="21" borderId="0" xfId="0" applyNumberFormat="1" applyFont="1" applyFill="1" applyAlignment="1">
      <alignment horizontal="left"/>
    </xf>
    <xf numFmtId="164" fontId="13" fillId="21" borderId="0" xfId="0" applyNumberFormat="1" applyFont="1" applyFill="1"/>
    <xf numFmtId="0" fontId="13" fillId="22" borderId="0" xfId="0" applyFont="1" applyFill="1"/>
    <xf numFmtId="1" fontId="13" fillId="22" borderId="0" xfId="0" applyNumberFormat="1" applyFont="1" applyFill="1" applyAlignment="1">
      <alignment horizontal="left"/>
    </xf>
    <xf numFmtId="164" fontId="13" fillId="22" borderId="0" xfId="0" applyNumberFormat="1" applyFont="1" applyFill="1"/>
    <xf numFmtId="0" fontId="2" fillId="0" borderId="0" xfId="0" applyFont="1"/>
  </cellXfs>
  <cellStyles count="3">
    <cellStyle name="Accent4" xfId="2" builtinId="41"/>
    <cellStyle name="Comma" xfId="1" builtinId="3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6EDF2-AD85-4832-86E4-7360038E770E}">
  <dimension ref="A1:AB148"/>
  <sheetViews>
    <sheetView topLeftCell="B1" zoomScaleNormal="100" workbookViewId="0">
      <pane ySplit="1" topLeftCell="A2" activePane="bottomLeft" state="frozen"/>
      <selection activeCell="B1" sqref="B1"/>
      <selection pane="bottomLeft" activeCell="A8" sqref="A8:XFD8"/>
    </sheetView>
  </sheetViews>
  <sheetFormatPr defaultRowHeight="23.4" x14ac:dyDescent="0.45"/>
  <cols>
    <col min="1" max="1" width="8.88671875" style="1"/>
    <col min="2" max="2" width="33.5546875" style="16" bestFit="1" customWidth="1"/>
    <col min="3" max="3" width="34.109375" style="34" bestFit="1" customWidth="1"/>
    <col min="4" max="4" width="33" style="35" customWidth="1"/>
    <col min="5" max="5" width="27.109375" style="35" bestFit="1" customWidth="1"/>
    <col min="6" max="7" width="27.109375" style="35" customWidth="1"/>
    <col min="8" max="8" width="39.33203125" style="18" bestFit="1" customWidth="1"/>
    <col min="9" max="10" width="45.44140625" style="18" bestFit="1" customWidth="1"/>
    <col min="11" max="12" width="30.6640625" style="15" customWidth="1"/>
    <col min="13" max="13" width="19.77734375" style="15" customWidth="1"/>
    <col min="14" max="14" width="33.109375" style="19" customWidth="1"/>
    <col min="15" max="15" width="19.21875" style="19" customWidth="1"/>
    <col min="16" max="16" width="18.77734375" style="15" customWidth="1"/>
    <col min="17" max="17" width="11.44140625" style="15" customWidth="1"/>
    <col min="18" max="18" width="20" style="15" bestFit="1" customWidth="1"/>
    <col min="19" max="19" width="12.33203125" style="15" bestFit="1" customWidth="1"/>
    <col min="20" max="20" width="25.88671875" style="36" customWidth="1"/>
    <col min="21" max="21" width="60.5546875" style="36" bestFit="1" customWidth="1"/>
    <col min="22" max="22" width="33" style="1" bestFit="1" customWidth="1"/>
    <col min="23" max="23" width="26.77734375" style="1" customWidth="1"/>
    <col min="24" max="24" width="9" style="1" bestFit="1" customWidth="1"/>
    <col min="25" max="27" width="8.88671875" style="1"/>
    <col min="28" max="28" width="9" style="1" bestFit="1" customWidth="1"/>
    <col min="29" max="16384" width="8.88671875" style="1"/>
  </cols>
  <sheetData>
    <row r="1" spans="1:28" s="3" customFormat="1" ht="67.2" thickBot="1" x14ac:dyDescent="0.35">
      <c r="B1" s="4" t="s">
        <v>93</v>
      </c>
      <c r="C1" s="5" t="s">
        <v>57</v>
      </c>
      <c r="D1" s="6" t="s">
        <v>22</v>
      </c>
      <c r="E1" s="7" t="s">
        <v>94</v>
      </c>
      <c r="F1" s="7" t="s">
        <v>95</v>
      </c>
      <c r="G1" s="7" t="s">
        <v>96</v>
      </c>
      <c r="H1" s="8" t="s">
        <v>0</v>
      </c>
      <c r="I1" s="8" t="s">
        <v>97</v>
      </c>
      <c r="J1" s="8" t="s">
        <v>1</v>
      </c>
      <c r="K1" s="9" t="s">
        <v>8</v>
      </c>
      <c r="L1" s="9"/>
      <c r="M1" s="9" t="s">
        <v>9</v>
      </c>
      <c r="N1" s="10" t="s">
        <v>2</v>
      </c>
      <c r="O1" s="11" t="s">
        <v>3</v>
      </c>
      <c r="P1" s="12" t="s">
        <v>4</v>
      </c>
      <c r="Q1" s="9" t="s">
        <v>5</v>
      </c>
      <c r="R1" s="9" t="s">
        <v>6</v>
      </c>
      <c r="S1" s="13" t="s">
        <v>7</v>
      </c>
      <c r="T1" s="14" t="s">
        <v>29</v>
      </c>
      <c r="U1" s="14" t="s">
        <v>30</v>
      </c>
    </row>
    <row r="2" spans="1:28" x14ac:dyDescent="0.45">
      <c r="A2" s="196"/>
      <c r="B2" s="16" t="s">
        <v>20</v>
      </c>
      <c r="C2" s="17"/>
      <c r="D2" s="16" t="s">
        <v>25</v>
      </c>
      <c r="E2" s="16"/>
      <c r="F2" s="16"/>
      <c r="G2" s="16"/>
      <c r="H2" s="18">
        <v>46114</v>
      </c>
      <c r="I2" s="18">
        <f>H2+7+MOD(7-WEEKDAY(H2+7),7)</f>
        <v>46123</v>
      </c>
      <c r="J2" s="18">
        <f>I2+60</f>
        <v>46183</v>
      </c>
      <c r="K2" s="15" t="s">
        <v>19</v>
      </c>
      <c r="M2" s="15">
        <v>0.15</v>
      </c>
      <c r="N2" s="19">
        <v>0.2</v>
      </c>
      <c r="O2" s="19">
        <f t="shared" ref="O2:O8" si="0">M2*230*11.9</f>
        <v>410.55</v>
      </c>
      <c r="P2" s="15">
        <f t="shared" ref="P2:P8" si="1">N2*IF(K2="ELECTRONICS",270,250)*12.3</f>
        <v>664.2</v>
      </c>
      <c r="Q2" s="19">
        <f t="shared" ref="Q2:Q8" si="2">P2-O2</f>
        <v>253.65000000000003</v>
      </c>
      <c r="R2" s="15" t="str">
        <f t="shared" ref="R2:R33" si="3">"CONTAINER"&amp;MATCH(J2,_xlfn.UNIQUE($J$2:$J$998),0)</f>
        <v>CONTAINER1</v>
      </c>
      <c r="S2" s="20" t="str">
        <f>TEXT(J2,"MMMM")</f>
        <v>June</v>
      </c>
      <c r="T2" s="21" t="str">
        <f ca="1">IF(J2&lt;TODAY(),"ARRIVED",IF(J2-TODAY()&lt;=7,"ARRIVING SOON",J2-TODAY()&amp;"DAYS LEFT"))</f>
        <v>ARRIVED</v>
      </c>
      <c r="U2" s="21" t="str">
        <f ca="1">IF(TODAY()&gt;J2+MOD(4-WEEKDAY(J2),7)," DELIVERED AT WAREHOUSE", IF(J2-TODAY()&gt;45, "ORIGIN (CHINA)", IF(J2-TODAY()&gt;15, "SEA TRANSIT", "CUSTOMS CLEARANCE / PORT")))</f>
        <v xml:space="preserve"> DELIVERED AT WAREHOUSE</v>
      </c>
      <c r="V2" s="22"/>
      <c r="W2" s="23" t="s">
        <v>11</v>
      </c>
      <c r="X2" s="24"/>
      <c r="AB2" s="1">
        <f>IF(X2=0,0,AA2/X2)</f>
        <v>0</v>
      </c>
    </row>
    <row r="3" spans="1:28" s="45" customFormat="1" x14ac:dyDescent="0.45">
      <c r="A3" s="196"/>
      <c r="B3" s="37" t="s">
        <v>17</v>
      </c>
      <c r="C3" s="38"/>
      <c r="D3" s="37" t="s">
        <v>23</v>
      </c>
      <c r="E3" s="37"/>
      <c r="F3" s="37"/>
      <c r="G3" s="37"/>
      <c r="H3" s="39">
        <v>46130</v>
      </c>
      <c r="I3" s="39">
        <f t="shared" ref="I3:I67" si="4">H3+7+MOD(7-WEEKDAY(H3+7),7)</f>
        <v>46137</v>
      </c>
      <c r="J3" s="18">
        <f t="shared" ref="J3:J66" si="5">I3+60</f>
        <v>46197</v>
      </c>
      <c r="K3" s="40" t="s">
        <v>10</v>
      </c>
      <c r="L3" s="40"/>
      <c r="M3" s="41">
        <v>3.1399999999999997E-2</v>
      </c>
      <c r="N3" s="42">
        <f t="shared" ref="N3:N8" si="6">IF(M3&lt;0.15,0.15,M3)</f>
        <v>0.15</v>
      </c>
      <c r="O3" s="42">
        <f t="shared" si="0"/>
        <v>85.941800000000001</v>
      </c>
      <c r="P3" s="41">
        <f t="shared" si="1"/>
        <v>461.25</v>
      </c>
      <c r="Q3" s="42">
        <f t="shared" si="2"/>
        <v>375.3082</v>
      </c>
      <c r="R3" s="41" t="str">
        <f t="shared" si="3"/>
        <v>CONTAINER2</v>
      </c>
      <c r="S3" s="43" t="str">
        <f t="shared" ref="S3:S57" si="7">TEXT(J3,"MMMM")</f>
        <v>June</v>
      </c>
      <c r="T3" s="44" t="str">
        <f ca="1">IF(J3&lt;TODAY(),"ARRIVED",IF(J3-TODAY()&lt;=7,"ARRIVING SOON",J3-TODAY()&amp;"DAYS LEFT"))</f>
        <v>ARRIVED</v>
      </c>
      <c r="U3" s="44" t="str">
        <f ca="1">IF(TODAY()&gt;J3+MOD(4-WEEKDAY(J3),7)," DELIVERED AT WAREHOUSE", IF(J3-TODAY()&gt;45, "ORIGIN (CHINA)", IF(J3-TODAY()&gt;15, "SEA TRANSIT", "CUSTOMS CLEARANCE / PORT")))</f>
        <v xml:space="preserve"> DELIVERED AT WAREHOUSE</v>
      </c>
      <c r="W3" s="46" t="s">
        <v>12</v>
      </c>
      <c r="X3" s="47">
        <f>SUMIFS(M:M,S:S,"MAY")</f>
        <v>0</v>
      </c>
    </row>
    <row r="4" spans="1:28" s="45" customFormat="1" x14ac:dyDescent="0.45">
      <c r="A4" s="196"/>
      <c r="B4" s="37" t="s">
        <v>18</v>
      </c>
      <c r="C4" s="38"/>
      <c r="D4" s="37" t="s">
        <v>24</v>
      </c>
      <c r="E4" s="37"/>
      <c r="F4" s="37"/>
      <c r="G4" s="37"/>
      <c r="H4" s="39">
        <v>46133</v>
      </c>
      <c r="I4" s="39">
        <f>H4+7+MOD(7-WEEKDAY(H4+7),7)</f>
        <v>46144</v>
      </c>
      <c r="J4" s="18">
        <f t="shared" si="5"/>
        <v>46204</v>
      </c>
      <c r="K4" s="41" t="s">
        <v>19</v>
      </c>
      <c r="L4" s="41"/>
      <c r="M4" s="41">
        <v>0.27</v>
      </c>
      <c r="N4" s="42">
        <f t="shared" si="6"/>
        <v>0.27</v>
      </c>
      <c r="O4" s="42">
        <f t="shared" si="0"/>
        <v>738.99</v>
      </c>
      <c r="P4" s="41">
        <f t="shared" si="1"/>
        <v>896.67000000000007</v>
      </c>
      <c r="Q4" s="42">
        <f t="shared" si="2"/>
        <v>157.68000000000006</v>
      </c>
      <c r="R4" s="41" t="str">
        <f t="shared" si="3"/>
        <v>CONTAINER3</v>
      </c>
      <c r="S4" s="43" t="str">
        <f t="shared" si="7"/>
        <v>July</v>
      </c>
      <c r="T4" s="44" t="str">
        <f t="shared" ref="T4:T20" ca="1" si="8">IF(J4&lt;TODAY(),"ARRIVED",IF(J4-TODAY()&lt;=7,"ARRIVING SOON",J4-TODAY()&amp;"DAYS LEFT"))</f>
        <v>ARRIVED</v>
      </c>
      <c r="U4" s="44" t="str">
        <f t="shared" ref="U4:U57" ca="1" si="9">IF(TODAY()&gt;J4+MOD(4-WEEKDAY(J4),7)," DELIVERED AT WAREHOUSE", IF(J4-TODAY()&gt;45, "ORIGIN (CHINA)", IF(J4-TODAY()&gt;15, "SEA TRANSIT", "CUSTOMS CLEARANCE / PORT")))</f>
        <v xml:space="preserve"> DELIVERED AT WAREHOUSE</v>
      </c>
      <c r="W4" s="46" t="s">
        <v>13</v>
      </c>
      <c r="X4" s="47" cm="1">
        <f t="array" ref="X4">COUNTA(_xlfn.UNIQUE(_xlfn._xlws.FILTER(R:R,S:S="MAY")))</f>
        <v>1</v>
      </c>
    </row>
    <row r="5" spans="1:28" s="45" customFormat="1" x14ac:dyDescent="0.45">
      <c r="A5" s="196"/>
      <c r="B5" s="37" t="s">
        <v>21</v>
      </c>
      <c r="C5" s="38"/>
      <c r="D5" s="37" t="s">
        <v>26</v>
      </c>
      <c r="E5" s="37"/>
      <c r="F5" s="37"/>
      <c r="G5" s="37"/>
      <c r="H5" s="39">
        <v>46133</v>
      </c>
      <c r="I5" s="39">
        <f t="shared" si="4"/>
        <v>46144</v>
      </c>
      <c r="J5" s="18">
        <f t="shared" si="5"/>
        <v>46204</v>
      </c>
      <c r="K5" s="41" t="s">
        <v>10</v>
      </c>
      <c r="L5" s="41"/>
      <c r="M5" s="41">
        <v>0.27</v>
      </c>
      <c r="N5" s="42">
        <f t="shared" si="6"/>
        <v>0.27</v>
      </c>
      <c r="O5" s="42">
        <f t="shared" si="0"/>
        <v>738.99</v>
      </c>
      <c r="P5" s="41">
        <f t="shared" si="1"/>
        <v>830.25</v>
      </c>
      <c r="Q5" s="42">
        <f t="shared" si="2"/>
        <v>91.259999999999991</v>
      </c>
      <c r="R5" s="41" t="str">
        <f t="shared" si="3"/>
        <v>CONTAINER3</v>
      </c>
      <c r="S5" s="43" t="str">
        <f t="shared" si="7"/>
        <v>July</v>
      </c>
      <c r="T5" s="44" t="str">
        <f t="shared" ca="1" si="8"/>
        <v>ARRIVED</v>
      </c>
      <c r="U5" s="44" t="str">
        <f t="shared" ca="1" si="9"/>
        <v xml:space="preserve"> DELIVERED AT WAREHOUSE</v>
      </c>
      <c r="W5" s="46" t="s">
        <v>14</v>
      </c>
      <c r="X5" s="47">
        <f>SUMIFS(O:O,S:S,"MAY")</f>
        <v>0</v>
      </c>
    </row>
    <row r="6" spans="1:28" s="45" customFormat="1" ht="24" thickBot="1" x14ac:dyDescent="0.5">
      <c r="A6" s="196"/>
      <c r="B6" s="37" t="s">
        <v>21</v>
      </c>
      <c r="C6" s="38"/>
      <c r="D6" s="37" t="s">
        <v>27</v>
      </c>
      <c r="E6" s="37"/>
      <c r="F6" s="37"/>
      <c r="G6" s="37"/>
      <c r="H6" s="39">
        <v>46140</v>
      </c>
      <c r="I6" s="39">
        <f t="shared" si="4"/>
        <v>46151</v>
      </c>
      <c r="J6" s="18">
        <f t="shared" si="5"/>
        <v>46211</v>
      </c>
      <c r="K6" s="41" t="s">
        <v>10</v>
      </c>
      <c r="L6" s="41"/>
      <c r="M6" s="41">
        <v>8.3099999999999993E-2</v>
      </c>
      <c r="N6" s="42">
        <f t="shared" si="6"/>
        <v>0.15</v>
      </c>
      <c r="O6" s="42">
        <f t="shared" si="0"/>
        <v>227.44470000000001</v>
      </c>
      <c r="P6" s="41">
        <f t="shared" si="1"/>
        <v>461.25</v>
      </c>
      <c r="Q6" s="42">
        <f t="shared" si="2"/>
        <v>233.80529999999999</v>
      </c>
      <c r="R6" s="41" t="str">
        <f t="shared" si="3"/>
        <v>CONTAINER4</v>
      </c>
      <c r="S6" s="43" t="str">
        <f t="shared" si="7"/>
        <v>July</v>
      </c>
      <c r="T6" s="44" t="str">
        <f ca="1">IF(J6&lt;TODAY(),"ARRIVED",IF(J6-TODAY()&lt;=7,"ARRIVING SOON",J6-TODAY()&amp;"DAYS LEFT"))</f>
        <v>ARRIVED</v>
      </c>
      <c r="U6" s="44" t="str">
        <f ca="1">IF(TODAY()&gt;J6+MOD(4-WEEKDAY(J6),7)," DELIVERED AT WAREHOUSE", IF(J6-TODAY()&gt;45, "ORIGIN (CHINA)", IF(J6-TODAY()&gt;15, "SEA TRANSIT", "CUSTOMS CLEARANCE / PORT")))</f>
        <v xml:space="preserve"> DELIVERED AT WAREHOUSE</v>
      </c>
      <c r="W6" s="48" t="s">
        <v>15</v>
      </c>
      <c r="X6" s="49">
        <f>SUMIFS(Q:Q,S:S,"MAY")</f>
        <v>0</v>
      </c>
    </row>
    <row r="7" spans="1:28" s="177" customFormat="1" x14ac:dyDescent="0.45">
      <c r="A7" s="196"/>
      <c r="B7" s="169" t="s">
        <v>28</v>
      </c>
      <c r="C7" s="170"/>
      <c r="D7" s="171" t="s">
        <v>24</v>
      </c>
      <c r="E7" s="169"/>
      <c r="F7" s="169"/>
      <c r="G7" s="169"/>
      <c r="H7" s="172">
        <v>46146</v>
      </c>
      <c r="I7" s="172">
        <f t="shared" si="4"/>
        <v>46158</v>
      </c>
      <c r="J7" s="172">
        <f t="shared" si="5"/>
        <v>46218</v>
      </c>
      <c r="K7" s="173" t="s">
        <v>19</v>
      </c>
      <c r="L7" s="173"/>
      <c r="M7" s="173">
        <v>0.3</v>
      </c>
      <c r="N7" s="174">
        <f t="shared" si="6"/>
        <v>0.3</v>
      </c>
      <c r="O7" s="174">
        <f t="shared" si="0"/>
        <v>821.1</v>
      </c>
      <c r="P7" s="173">
        <f t="shared" si="1"/>
        <v>996.30000000000007</v>
      </c>
      <c r="Q7" s="174">
        <f t="shared" si="2"/>
        <v>175.20000000000005</v>
      </c>
      <c r="R7" s="173" t="str">
        <f t="shared" si="3"/>
        <v>CONTAINER5</v>
      </c>
      <c r="S7" s="175" t="str">
        <f t="shared" si="7"/>
        <v>July</v>
      </c>
      <c r="T7" s="176" t="str">
        <f t="shared" ca="1" si="8"/>
        <v>ARRIVED</v>
      </c>
      <c r="U7" s="176" t="str">
        <f t="shared" ca="1" si="9"/>
        <v xml:space="preserve"> DELIVERED AT WAREHOUSE</v>
      </c>
    </row>
    <row r="8" spans="1:28" s="50" customFormat="1" x14ac:dyDescent="0.45">
      <c r="B8" s="51" t="s">
        <v>31</v>
      </c>
      <c r="C8" s="52"/>
      <c r="D8" s="51" t="s">
        <v>73</v>
      </c>
      <c r="E8" s="51"/>
      <c r="F8" s="51"/>
      <c r="G8" s="51"/>
      <c r="H8" s="53">
        <v>46174</v>
      </c>
      <c r="I8" s="53">
        <f t="shared" si="4"/>
        <v>46186</v>
      </c>
      <c r="J8" s="18">
        <f t="shared" si="5"/>
        <v>46246</v>
      </c>
      <c r="K8" s="54" t="s">
        <v>10</v>
      </c>
      <c r="L8" s="54"/>
      <c r="M8" s="54">
        <v>0.16</v>
      </c>
      <c r="N8" s="55">
        <f t="shared" si="6"/>
        <v>0.16</v>
      </c>
      <c r="O8" s="55">
        <f t="shared" si="0"/>
        <v>437.92000000000007</v>
      </c>
      <c r="P8" s="54">
        <f t="shared" si="1"/>
        <v>492</v>
      </c>
      <c r="Q8" s="55">
        <f t="shared" si="2"/>
        <v>54.079999999999927</v>
      </c>
      <c r="R8" s="54" t="str">
        <f t="shared" si="3"/>
        <v>CONTAINER6</v>
      </c>
      <c r="S8" s="56" t="str">
        <f t="shared" si="7"/>
        <v>August</v>
      </c>
      <c r="T8" s="57" t="str">
        <f t="shared" ca="1" si="8"/>
        <v>ARRIVED</v>
      </c>
      <c r="U8" s="57" t="str">
        <f ca="1">IF((U2)&gt;J8+MOD(4-WEEKDAY(J8),7)," DELIVERED AT WAREHOUSE", IF(J8-TODAY()&gt;45, "ORIGIN (CHINA)", IF(J8-TODAY()&gt;15, "SEA TRANSIT", "CUSTOMS CLEARANCE / PORT")))</f>
        <v xml:space="preserve"> DELIVERED AT WAREHOUSE</v>
      </c>
    </row>
    <row r="9" spans="1:28" s="50" customFormat="1" x14ac:dyDescent="0.45">
      <c r="B9" s="51" t="s">
        <v>32</v>
      </c>
      <c r="C9" s="52" t="s">
        <v>63</v>
      </c>
      <c r="D9" s="51" t="s">
        <v>33</v>
      </c>
      <c r="E9" s="51" t="s">
        <v>74</v>
      </c>
      <c r="F9" s="51"/>
      <c r="G9" s="51"/>
      <c r="H9" s="53">
        <v>46181</v>
      </c>
      <c r="I9" s="53">
        <f t="shared" si="4"/>
        <v>46193</v>
      </c>
      <c r="J9" s="18">
        <f t="shared" si="5"/>
        <v>46253</v>
      </c>
      <c r="K9" s="54" t="s">
        <v>10</v>
      </c>
      <c r="L9" s="54"/>
      <c r="M9" s="54"/>
      <c r="N9" s="55"/>
      <c r="O9" s="55"/>
      <c r="P9" s="54"/>
      <c r="Q9" s="54"/>
      <c r="R9" s="54" t="str">
        <f t="shared" si="3"/>
        <v>CONTAINER7</v>
      </c>
      <c r="S9" s="56" t="str">
        <f t="shared" si="7"/>
        <v>August</v>
      </c>
      <c r="T9" s="57" t="str">
        <f t="shared" ca="1" si="8"/>
        <v>ARRIVING SOON</v>
      </c>
      <c r="U9" s="57" t="str">
        <f t="shared" ca="1" si="9"/>
        <v>CUSTOMS CLEARANCE / PORT</v>
      </c>
      <c r="W9" s="50" t="s">
        <v>16</v>
      </c>
    </row>
    <row r="10" spans="1:28" s="50" customFormat="1" x14ac:dyDescent="0.45">
      <c r="B10" s="51" t="s">
        <v>116</v>
      </c>
      <c r="C10" s="52"/>
      <c r="D10" s="51"/>
      <c r="E10" s="51" t="s">
        <v>76</v>
      </c>
      <c r="F10" s="51"/>
      <c r="G10" s="51"/>
      <c r="H10" s="53">
        <v>46181</v>
      </c>
      <c r="I10" s="53">
        <f t="shared" si="4"/>
        <v>46193</v>
      </c>
      <c r="J10" s="18">
        <f t="shared" si="5"/>
        <v>46253</v>
      </c>
      <c r="K10" s="54"/>
      <c r="L10" s="54"/>
      <c r="M10" s="54"/>
      <c r="N10" s="55"/>
      <c r="O10" s="55"/>
      <c r="P10" s="54"/>
      <c r="Q10" s="54"/>
      <c r="R10" s="54" t="str">
        <f t="shared" si="3"/>
        <v>CONTAINER7</v>
      </c>
      <c r="S10" s="56" t="str">
        <f t="shared" si="7"/>
        <v>August</v>
      </c>
      <c r="T10" s="57" t="str">
        <f t="shared" ca="1" si="8"/>
        <v>ARRIVING SOON</v>
      </c>
      <c r="U10" s="57" t="str">
        <f t="shared" ca="1" si="9"/>
        <v>CUSTOMS CLEARANCE / PORT</v>
      </c>
    </row>
    <row r="11" spans="1:28" s="50" customFormat="1" x14ac:dyDescent="0.45">
      <c r="B11" s="51" t="s">
        <v>34</v>
      </c>
      <c r="C11" s="52"/>
      <c r="D11" s="51"/>
      <c r="E11" s="51" t="s">
        <v>76</v>
      </c>
      <c r="F11" s="51"/>
      <c r="G11" s="51"/>
      <c r="H11" s="53">
        <v>46181</v>
      </c>
      <c r="I11" s="53">
        <f t="shared" si="4"/>
        <v>46193</v>
      </c>
      <c r="J11" s="18">
        <f t="shared" si="5"/>
        <v>46253</v>
      </c>
      <c r="K11" s="54"/>
      <c r="L11" s="54"/>
      <c r="M11" s="54"/>
      <c r="N11" s="55"/>
      <c r="O11" s="55"/>
      <c r="P11" s="54"/>
      <c r="Q11" s="54"/>
      <c r="R11" s="54" t="str">
        <f t="shared" si="3"/>
        <v>CONTAINER7</v>
      </c>
      <c r="S11" s="56" t="str">
        <f t="shared" si="7"/>
        <v>August</v>
      </c>
      <c r="T11" s="57" t="str">
        <f t="shared" ca="1" si="8"/>
        <v>ARRIVING SOON</v>
      </c>
      <c r="U11" s="57" t="str">
        <f t="shared" ca="1" si="9"/>
        <v>CUSTOMS CLEARANCE / PORT</v>
      </c>
    </row>
    <row r="12" spans="1:28" s="50" customFormat="1" x14ac:dyDescent="0.45">
      <c r="B12" s="51" t="s">
        <v>35</v>
      </c>
      <c r="C12" s="52"/>
      <c r="D12" s="51" t="s">
        <v>36</v>
      </c>
      <c r="E12" s="51"/>
      <c r="F12" s="51"/>
      <c r="G12" s="51"/>
      <c r="H12" s="53">
        <v>46181</v>
      </c>
      <c r="I12" s="53">
        <f t="shared" si="4"/>
        <v>46193</v>
      </c>
      <c r="J12" s="18">
        <f t="shared" si="5"/>
        <v>46253</v>
      </c>
      <c r="K12" s="54" t="s">
        <v>10</v>
      </c>
      <c r="L12" s="54"/>
      <c r="M12" s="54"/>
      <c r="N12" s="55"/>
      <c r="O12" s="55"/>
      <c r="P12" s="54"/>
      <c r="Q12" s="54"/>
      <c r="R12" s="54" t="str">
        <f t="shared" si="3"/>
        <v>CONTAINER7</v>
      </c>
      <c r="S12" s="56" t="str">
        <f t="shared" si="7"/>
        <v>August</v>
      </c>
      <c r="T12" s="57" t="str">
        <f t="shared" ca="1" si="8"/>
        <v>ARRIVING SOON</v>
      </c>
      <c r="U12" s="57" t="str">
        <f t="shared" ca="1" si="9"/>
        <v>CUSTOMS CLEARANCE / PORT</v>
      </c>
    </row>
    <row r="13" spans="1:28" s="50" customFormat="1" x14ac:dyDescent="0.45">
      <c r="B13" s="51" t="s">
        <v>37</v>
      </c>
      <c r="C13" s="52" t="s">
        <v>70</v>
      </c>
      <c r="D13" s="51" t="s">
        <v>38</v>
      </c>
      <c r="E13" s="51"/>
      <c r="F13" s="51"/>
      <c r="G13" s="51"/>
      <c r="H13" s="53">
        <v>46181</v>
      </c>
      <c r="I13" s="53">
        <f t="shared" si="4"/>
        <v>46193</v>
      </c>
      <c r="J13" s="18">
        <f t="shared" si="5"/>
        <v>46253</v>
      </c>
      <c r="K13" s="54"/>
      <c r="L13" s="54"/>
      <c r="M13" s="54"/>
      <c r="N13" s="55"/>
      <c r="O13" s="55"/>
      <c r="P13" s="54"/>
      <c r="Q13" s="54"/>
      <c r="R13" s="54" t="str">
        <f t="shared" si="3"/>
        <v>CONTAINER7</v>
      </c>
      <c r="S13" s="56" t="str">
        <f t="shared" si="7"/>
        <v>August</v>
      </c>
      <c r="T13" s="57" t="str">
        <f t="shared" ca="1" si="8"/>
        <v>ARRIVING SOON</v>
      </c>
      <c r="U13" s="57" t="str">
        <f t="shared" ca="1" si="9"/>
        <v>CUSTOMS CLEARANCE / PORT</v>
      </c>
    </row>
    <row r="14" spans="1:28" s="50" customFormat="1" x14ac:dyDescent="0.45">
      <c r="B14" s="51" t="s">
        <v>39</v>
      </c>
      <c r="C14" s="52"/>
      <c r="D14" s="51" t="s">
        <v>40</v>
      </c>
      <c r="E14" s="51"/>
      <c r="F14" s="51"/>
      <c r="G14" s="51"/>
      <c r="H14" s="53">
        <v>46181</v>
      </c>
      <c r="I14" s="53">
        <f t="shared" si="4"/>
        <v>46193</v>
      </c>
      <c r="J14" s="18">
        <f t="shared" si="5"/>
        <v>46253</v>
      </c>
      <c r="K14" s="54" t="s">
        <v>10</v>
      </c>
      <c r="L14" s="54"/>
      <c r="M14" s="54"/>
      <c r="N14" s="55"/>
      <c r="O14" s="55"/>
      <c r="P14" s="54"/>
      <c r="Q14" s="54"/>
      <c r="R14" s="54" t="str">
        <f t="shared" si="3"/>
        <v>CONTAINER7</v>
      </c>
      <c r="S14" s="56" t="str">
        <f t="shared" si="7"/>
        <v>August</v>
      </c>
      <c r="T14" s="57" t="str">
        <f t="shared" ca="1" si="8"/>
        <v>ARRIVING SOON</v>
      </c>
      <c r="U14" s="57" t="str">
        <f t="shared" ca="1" si="9"/>
        <v>CUSTOMS CLEARANCE / PORT</v>
      </c>
    </row>
    <row r="15" spans="1:28" s="50" customFormat="1" x14ac:dyDescent="0.45">
      <c r="B15" s="51" t="s">
        <v>41</v>
      </c>
      <c r="C15" s="52"/>
      <c r="D15" s="51"/>
      <c r="E15" s="51" t="s">
        <v>76</v>
      </c>
      <c r="F15" s="51"/>
      <c r="G15" s="51"/>
      <c r="H15" s="53">
        <v>46188</v>
      </c>
      <c r="I15" s="53">
        <f t="shared" si="4"/>
        <v>46200</v>
      </c>
      <c r="J15" s="18">
        <f t="shared" si="5"/>
        <v>46260</v>
      </c>
      <c r="K15" s="54" t="s">
        <v>10</v>
      </c>
      <c r="L15" s="54"/>
      <c r="M15" s="54"/>
      <c r="N15" s="55"/>
      <c r="O15" s="55"/>
      <c r="P15" s="54"/>
      <c r="Q15" s="54"/>
      <c r="R15" s="54" t="str">
        <f t="shared" si="3"/>
        <v>CONTAINER8</v>
      </c>
      <c r="S15" s="56" t="str">
        <f t="shared" si="7"/>
        <v>August</v>
      </c>
      <c r="T15" s="57" t="str">
        <f t="shared" ca="1" si="8"/>
        <v>12DAYS LEFT</v>
      </c>
      <c r="U15" s="57" t="str">
        <f t="shared" ca="1" si="9"/>
        <v>CUSTOMS CLEARANCE / PORT</v>
      </c>
    </row>
    <row r="16" spans="1:28" s="50" customFormat="1" x14ac:dyDescent="0.45">
      <c r="B16" s="51" t="s">
        <v>42</v>
      </c>
      <c r="C16" s="52"/>
      <c r="D16" s="51" t="s">
        <v>43</v>
      </c>
      <c r="E16" s="51" t="s">
        <v>74</v>
      </c>
      <c r="F16" s="51"/>
      <c r="G16" s="51"/>
      <c r="H16" s="53">
        <v>46188</v>
      </c>
      <c r="I16" s="53">
        <f t="shared" si="4"/>
        <v>46200</v>
      </c>
      <c r="J16" s="18">
        <f t="shared" si="5"/>
        <v>46260</v>
      </c>
      <c r="K16" s="54" t="s">
        <v>10</v>
      </c>
      <c r="L16" s="54"/>
      <c r="M16" s="54"/>
      <c r="N16" s="55"/>
      <c r="O16" s="55"/>
      <c r="P16" s="54"/>
      <c r="Q16" s="54"/>
      <c r="R16" s="54" t="str">
        <f t="shared" si="3"/>
        <v>CONTAINER8</v>
      </c>
      <c r="S16" s="56" t="str">
        <f t="shared" si="7"/>
        <v>August</v>
      </c>
      <c r="T16" s="57" t="str">
        <f t="shared" ca="1" si="8"/>
        <v>12DAYS LEFT</v>
      </c>
      <c r="U16" s="57" t="str">
        <f t="shared" ca="1" si="9"/>
        <v>CUSTOMS CLEARANCE / PORT</v>
      </c>
    </row>
    <row r="17" spans="2:21" x14ac:dyDescent="0.45">
      <c r="B17" s="16" t="s">
        <v>52</v>
      </c>
      <c r="C17" s="17"/>
      <c r="D17" s="16" t="s">
        <v>45</v>
      </c>
      <c r="E17" s="16" t="s">
        <v>76</v>
      </c>
      <c r="F17" s="16"/>
      <c r="G17" s="16"/>
      <c r="H17" s="18">
        <v>46188</v>
      </c>
      <c r="I17" s="18">
        <f t="shared" si="4"/>
        <v>46200</v>
      </c>
      <c r="J17" s="18">
        <f t="shared" si="5"/>
        <v>46260</v>
      </c>
      <c r="K17" s="15" t="s">
        <v>10</v>
      </c>
      <c r="R17" s="15" t="str">
        <f t="shared" si="3"/>
        <v>CONTAINER8</v>
      </c>
      <c r="S17" s="20" t="str">
        <f t="shared" si="7"/>
        <v>August</v>
      </c>
      <c r="T17" s="25" t="str">
        <f t="shared" ca="1" si="8"/>
        <v>12DAYS LEFT</v>
      </c>
      <c r="U17" s="25" t="str">
        <f t="shared" ca="1" si="9"/>
        <v>CUSTOMS CLEARANCE / PORT</v>
      </c>
    </row>
    <row r="18" spans="2:21" x14ac:dyDescent="0.45">
      <c r="B18" s="16" t="s">
        <v>177</v>
      </c>
      <c r="C18" s="17">
        <v>435225599945641</v>
      </c>
      <c r="D18" s="16"/>
      <c r="E18" s="16"/>
      <c r="F18" s="16"/>
      <c r="G18" s="16"/>
      <c r="H18" s="18">
        <v>46188</v>
      </c>
      <c r="I18" s="18">
        <f>H18+7+MOD(7-WEEKDAY(H18+7),7)</f>
        <v>46200</v>
      </c>
      <c r="J18" s="18">
        <f t="shared" si="5"/>
        <v>46260</v>
      </c>
      <c r="R18" s="15" t="str">
        <f t="shared" si="3"/>
        <v>CONTAINER8</v>
      </c>
      <c r="S18" s="20" t="str">
        <f t="shared" si="7"/>
        <v>August</v>
      </c>
      <c r="T18" s="25" t="str">
        <f t="shared" ca="1" si="8"/>
        <v>12DAYS LEFT</v>
      </c>
      <c r="U18" s="25" t="str">
        <f t="shared" ca="1" si="9"/>
        <v>CUSTOMS CLEARANCE / PORT</v>
      </c>
    </row>
    <row r="19" spans="2:21" s="2" customFormat="1" x14ac:dyDescent="0.45">
      <c r="B19" s="26" t="s">
        <v>44</v>
      </c>
      <c r="C19" s="17">
        <v>465415964865328</v>
      </c>
      <c r="D19" s="26"/>
      <c r="E19" s="26" t="s">
        <v>74</v>
      </c>
      <c r="F19" s="26"/>
      <c r="G19" s="26"/>
      <c r="H19" s="18">
        <v>46188</v>
      </c>
      <c r="I19" s="18">
        <f>H19+7+MOD(7-WEEKDAY(H19+7),7)</f>
        <v>46200</v>
      </c>
      <c r="J19" s="18">
        <f t="shared" si="5"/>
        <v>46260</v>
      </c>
      <c r="K19" s="19"/>
      <c r="L19" s="19"/>
      <c r="M19" s="19"/>
      <c r="N19" s="19"/>
      <c r="O19" s="19"/>
      <c r="P19" s="19"/>
      <c r="Q19" s="19"/>
      <c r="R19" s="19"/>
      <c r="S19" s="27" t="str">
        <f t="shared" si="7"/>
        <v>August</v>
      </c>
      <c r="T19" s="28" t="str">
        <f ca="1">IF(J19&lt;TODAY(),"ARRIVED",IF(J19-TODAY()&lt;=7,"ARRIVING SOON",J19-TODAY()&amp;"DAYS LEFT"))</f>
        <v>12DAYS LEFT</v>
      </c>
      <c r="U19" s="28" t="str">
        <f t="shared" ca="1" si="9"/>
        <v>CUSTOMS CLEARANCE / PORT</v>
      </c>
    </row>
    <row r="20" spans="2:21" x14ac:dyDescent="0.45">
      <c r="B20" s="16" t="s">
        <v>34</v>
      </c>
      <c r="C20" s="17">
        <v>79010755810171</v>
      </c>
      <c r="D20" s="16" t="s">
        <v>47</v>
      </c>
      <c r="E20" s="16" t="s">
        <v>75</v>
      </c>
      <c r="F20" s="16"/>
      <c r="G20" s="16"/>
      <c r="H20" s="18">
        <v>46188</v>
      </c>
      <c r="I20" s="18">
        <f t="shared" si="4"/>
        <v>46200</v>
      </c>
      <c r="J20" s="18">
        <f t="shared" si="5"/>
        <v>46260</v>
      </c>
      <c r="R20" s="15" t="str">
        <f t="shared" si="3"/>
        <v>CONTAINER8</v>
      </c>
      <c r="S20" s="20" t="str">
        <f t="shared" si="7"/>
        <v>August</v>
      </c>
      <c r="T20" s="25" t="str">
        <f t="shared" ca="1" si="8"/>
        <v>12DAYS LEFT</v>
      </c>
      <c r="U20" s="25" t="str">
        <f t="shared" ca="1" si="9"/>
        <v>CUSTOMS CLEARANCE / PORT</v>
      </c>
    </row>
    <row r="21" spans="2:21" x14ac:dyDescent="0.45">
      <c r="B21" s="16" t="s">
        <v>34</v>
      </c>
      <c r="C21" s="17" t="s">
        <v>60</v>
      </c>
      <c r="D21" s="16" t="s">
        <v>48</v>
      </c>
      <c r="E21" s="16" t="s">
        <v>76</v>
      </c>
      <c r="F21" s="16"/>
      <c r="G21" s="16"/>
      <c r="H21" s="18">
        <v>46188</v>
      </c>
      <c r="I21" s="18">
        <f t="shared" si="4"/>
        <v>46200</v>
      </c>
      <c r="J21" s="18">
        <f t="shared" si="5"/>
        <v>46260</v>
      </c>
      <c r="R21" s="15" t="str">
        <f t="shared" si="3"/>
        <v>CONTAINER8</v>
      </c>
      <c r="S21" s="20" t="str">
        <f t="shared" si="7"/>
        <v>August</v>
      </c>
      <c r="T21" s="25" t="str">
        <f t="shared" ref="T21:T84" ca="1" si="10">IF(J21&lt;TODAY(),"ARRIVED",IF(J21-TODAY()&lt;=7,"ARRIVING SOON",J21-TODAY()&amp;"DAYS LEFT"))</f>
        <v>12DAYS LEFT</v>
      </c>
      <c r="U21" s="25" t="str">
        <f t="shared" ca="1" si="9"/>
        <v>CUSTOMS CLEARANCE / PORT</v>
      </c>
    </row>
    <row r="22" spans="2:21" x14ac:dyDescent="0.45">
      <c r="B22" s="16" t="s">
        <v>34</v>
      </c>
      <c r="C22" s="17" t="s">
        <v>61</v>
      </c>
      <c r="D22" s="16" t="s">
        <v>49</v>
      </c>
      <c r="E22" s="16" t="s">
        <v>77</v>
      </c>
      <c r="F22" s="16"/>
      <c r="G22" s="16"/>
      <c r="H22" s="18">
        <v>46188</v>
      </c>
      <c r="I22" s="18">
        <f t="shared" si="4"/>
        <v>46200</v>
      </c>
      <c r="J22" s="18">
        <f t="shared" si="5"/>
        <v>46260</v>
      </c>
      <c r="R22" s="15" t="str">
        <f t="shared" si="3"/>
        <v>CONTAINER8</v>
      </c>
      <c r="S22" s="20" t="str">
        <f t="shared" si="7"/>
        <v>August</v>
      </c>
      <c r="T22" s="25" t="str">
        <f t="shared" ca="1" si="10"/>
        <v>12DAYS LEFT</v>
      </c>
      <c r="U22" s="25" t="str">
        <f t="shared" ca="1" si="9"/>
        <v>CUSTOMS CLEARANCE / PORT</v>
      </c>
    </row>
    <row r="23" spans="2:21" x14ac:dyDescent="0.45">
      <c r="B23" s="16" t="s">
        <v>34</v>
      </c>
      <c r="C23" s="17">
        <v>1020445736002</v>
      </c>
      <c r="D23" s="16" t="s">
        <v>50</v>
      </c>
      <c r="E23" s="16" t="s">
        <v>76</v>
      </c>
      <c r="F23" s="16"/>
      <c r="G23" s="16"/>
      <c r="H23" s="18">
        <v>46188</v>
      </c>
      <c r="I23" s="18">
        <f t="shared" si="4"/>
        <v>46200</v>
      </c>
      <c r="J23" s="18">
        <f t="shared" si="5"/>
        <v>46260</v>
      </c>
      <c r="R23" s="15" t="str">
        <f t="shared" si="3"/>
        <v>CONTAINER8</v>
      </c>
      <c r="S23" s="20" t="str">
        <f t="shared" si="7"/>
        <v>August</v>
      </c>
      <c r="T23" s="25" t="str">
        <f t="shared" ca="1" si="10"/>
        <v>12DAYS LEFT</v>
      </c>
      <c r="U23" s="25" t="str">
        <f t="shared" ca="1" si="9"/>
        <v>CUSTOMS CLEARANCE / PORT</v>
      </c>
    </row>
    <row r="24" spans="2:21" x14ac:dyDescent="0.45">
      <c r="B24" s="16" t="s">
        <v>34</v>
      </c>
      <c r="C24" s="17"/>
      <c r="D24" s="16" t="s">
        <v>51</v>
      </c>
      <c r="E24" s="16" t="s">
        <v>76</v>
      </c>
      <c r="F24" s="16"/>
      <c r="G24" s="16"/>
      <c r="H24" s="18">
        <v>46188</v>
      </c>
      <c r="I24" s="18">
        <f t="shared" si="4"/>
        <v>46200</v>
      </c>
      <c r="J24" s="18">
        <f t="shared" si="5"/>
        <v>46260</v>
      </c>
      <c r="R24" s="15" t="str">
        <f t="shared" si="3"/>
        <v>CONTAINER8</v>
      </c>
      <c r="S24" s="20" t="str">
        <f t="shared" si="7"/>
        <v>August</v>
      </c>
      <c r="T24" s="25" t="str">
        <f t="shared" ca="1" si="10"/>
        <v>12DAYS LEFT</v>
      </c>
      <c r="U24" s="25" t="str">
        <f t="shared" ca="1" si="9"/>
        <v>CUSTOMS CLEARANCE / PORT</v>
      </c>
    </row>
    <row r="25" spans="2:21" x14ac:dyDescent="0.45">
      <c r="B25" s="16" t="s">
        <v>34</v>
      </c>
      <c r="C25" s="17">
        <v>1320445736001</v>
      </c>
      <c r="D25" s="16" t="s">
        <v>53</v>
      </c>
      <c r="E25" s="16" t="s">
        <v>76</v>
      </c>
      <c r="F25" s="16"/>
      <c r="G25" s="16"/>
      <c r="H25" s="18">
        <v>46188</v>
      </c>
      <c r="I25" s="18">
        <f t="shared" si="4"/>
        <v>46200</v>
      </c>
      <c r="J25" s="18">
        <f t="shared" si="5"/>
        <v>46260</v>
      </c>
      <c r="R25" s="15" t="str">
        <f t="shared" si="3"/>
        <v>CONTAINER8</v>
      </c>
      <c r="S25" s="20" t="str">
        <f t="shared" si="7"/>
        <v>August</v>
      </c>
      <c r="T25" s="25" t="str">
        <f t="shared" ca="1" si="10"/>
        <v>12DAYS LEFT</v>
      </c>
      <c r="U25" s="25" t="str">
        <f t="shared" ca="1" si="9"/>
        <v>CUSTOMS CLEARANCE / PORT</v>
      </c>
    </row>
    <row r="26" spans="2:21" x14ac:dyDescent="0.45">
      <c r="B26" s="16" t="s">
        <v>34</v>
      </c>
      <c r="C26" s="17"/>
      <c r="D26" s="16" t="s">
        <v>54</v>
      </c>
      <c r="E26" s="16" t="s">
        <v>76</v>
      </c>
      <c r="F26" s="16"/>
      <c r="G26" s="16"/>
      <c r="H26" s="18">
        <v>46188</v>
      </c>
      <c r="I26" s="18">
        <f t="shared" si="4"/>
        <v>46200</v>
      </c>
      <c r="J26" s="18">
        <f t="shared" si="5"/>
        <v>46260</v>
      </c>
      <c r="R26" s="15" t="str">
        <f t="shared" si="3"/>
        <v>CONTAINER8</v>
      </c>
      <c r="S26" s="20" t="str">
        <f t="shared" si="7"/>
        <v>August</v>
      </c>
      <c r="T26" s="25" t="str">
        <f t="shared" ca="1" si="10"/>
        <v>12DAYS LEFT</v>
      </c>
      <c r="U26" s="25" t="str">
        <f t="shared" ca="1" si="9"/>
        <v>CUSTOMS CLEARANCE / PORT</v>
      </c>
    </row>
    <row r="27" spans="2:21" x14ac:dyDescent="0.45">
      <c r="B27" s="16" t="s">
        <v>34</v>
      </c>
      <c r="C27" s="17" t="s">
        <v>59</v>
      </c>
      <c r="D27" s="16" t="s">
        <v>55</v>
      </c>
      <c r="E27" s="16" t="s">
        <v>76</v>
      </c>
      <c r="F27" s="16"/>
      <c r="G27" s="16"/>
      <c r="H27" s="18">
        <v>46188</v>
      </c>
      <c r="I27" s="18">
        <f t="shared" si="4"/>
        <v>46200</v>
      </c>
      <c r="J27" s="18">
        <f t="shared" si="5"/>
        <v>46260</v>
      </c>
      <c r="R27" s="15" t="str">
        <f t="shared" si="3"/>
        <v>CONTAINER8</v>
      </c>
      <c r="S27" s="20" t="str">
        <f t="shared" si="7"/>
        <v>August</v>
      </c>
      <c r="T27" s="25" t="str">
        <f t="shared" ca="1" si="10"/>
        <v>12DAYS LEFT</v>
      </c>
      <c r="U27" s="25" t="str">
        <f t="shared" ca="1" si="9"/>
        <v>CUSTOMS CLEARANCE / PORT</v>
      </c>
    </row>
    <row r="28" spans="2:21" x14ac:dyDescent="0.45">
      <c r="B28" s="16" t="s">
        <v>34</v>
      </c>
      <c r="C28" s="17"/>
      <c r="D28" s="29" t="s">
        <v>56</v>
      </c>
      <c r="E28" s="29" t="s">
        <v>76</v>
      </c>
      <c r="F28" s="29"/>
      <c r="G28" s="29"/>
      <c r="H28" s="30">
        <v>46188</v>
      </c>
      <c r="I28" s="18">
        <f t="shared" si="4"/>
        <v>46200</v>
      </c>
      <c r="J28" s="18">
        <f t="shared" si="5"/>
        <v>46260</v>
      </c>
      <c r="K28" s="31"/>
      <c r="L28" s="31"/>
      <c r="M28" s="31"/>
      <c r="N28" s="32"/>
      <c r="O28" s="32"/>
      <c r="P28" s="31"/>
      <c r="Q28" s="31"/>
      <c r="R28" s="31" t="str">
        <f t="shared" si="3"/>
        <v>CONTAINER8</v>
      </c>
      <c r="S28" s="33" t="str">
        <f t="shared" si="7"/>
        <v>August</v>
      </c>
      <c r="T28" s="25" t="str">
        <f t="shared" ca="1" si="10"/>
        <v>12DAYS LEFT</v>
      </c>
      <c r="U28" s="25" t="str">
        <f t="shared" ca="1" si="9"/>
        <v>CUSTOMS CLEARANCE / PORT</v>
      </c>
    </row>
    <row r="29" spans="2:21" x14ac:dyDescent="0.45">
      <c r="B29" s="16" t="s">
        <v>34</v>
      </c>
      <c r="C29" s="34" t="s">
        <v>58</v>
      </c>
      <c r="D29" s="35" t="s">
        <v>69</v>
      </c>
      <c r="E29" s="35" t="s">
        <v>76</v>
      </c>
      <c r="H29" s="18">
        <v>46188</v>
      </c>
      <c r="I29" s="18">
        <f t="shared" si="4"/>
        <v>46200</v>
      </c>
      <c r="J29" s="18">
        <f t="shared" si="5"/>
        <v>46260</v>
      </c>
      <c r="R29" s="15" t="str">
        <f t="shared" si="3"/>
        <v>CONTAINER8</v>
      </c>
      <c r="S29" s="15" t="str">
        <f t="shared" si="7"/>
        <v>August</v>
      </c>
      <c r="T29" s="25" t="str">
        <f t="shared" ca="1" si="10"/>
        <v>12DAYS LEFT</v>
      </c>
      <c r="U29" s="36" t="str">
        <f t="shared" ca="1" si="9"/>
        <v>CUSTOMS CLEARANCE / PORT</v>
      </c>
    </row>
    <row r="30" spans="2:21" x14ac:dyDescent="0.45">
      <c r="B30" s="16" t="s">
        <v>34</v>
      </c>
      <c r="D30" s="35" t="s">
        <v>62</v>
      </c>
      <c r="E30" s="35" t="s">
        <v>76</v>
      </c>
      <c r="H30" s="18">
        <v>46188</v>
      </c>
      <c r="I30" s="18">
        <f t="shared" si="4"/>
        <v>46200</v>
      </c>
      <c r="J30" s="18">
        <f t="shared" si="5"/>
        <v>46260</v>
      </c>
      <c r="R30" s="15" t="str">
        <f t="shared" si="3"/>
        <v>CONTAINER8</v>
      </c>
      <c r="S30" s="15" t="str">
        <f t="shared" si="7"/>
        <v>August</v>
      </c>
      <c r="T30" s="25" t="str">
        <f t="shared" ca="1" si="10"/>
        <v>12DAYS LEFT</v>
      </c>
      <c r="U30" s="36" t="str">
        <f t="shared" ca="1" si="9"/>
        <v>CUSTOMS CLEARANCE / PORT</v>
      </c>
    </row>
    <row r="31" spans="2:21" x14ac:dyDescent="0.45">
      <c r="B31" s="16" t="s">
        <v>34</v>
      </c>
      <c r="D31" s="35" t="s">
        <v>62</v>
      </c>
      <c r="E31" s="35" t="s">
        <v>76</v>
      </c>
      <c r="H31" s="18">
        <v>46188</v>
      </c>
      <c r="I31" s="18">
        <f t="shared" si="4"/>
        <v>46200</v>
      </c>
      <c r="J31" s="18">
        <f t="shared" si="5"/>
        <v>46260</v>
      </c>
      <c r="R31" s="15" t="str">
        <f t="shared" si="3"/>
        <v>CONTAINER8</v>
      </c>
      <c r="S31" s="15" t="str">
        <f t="shared" si="7"/>
        <v>August</v>
      </c>
      <c r="T31" s="25" t="str">
        <f t="shared" ca="1" si="10"/>
        <v>12DAYS LEFT</v>
      </c>
      <c r="U31" s="36" t="str">
        <f t="shared" ca="1" si="9"/>
        <v>CUSTOMS CLEARANCE / PORT</v>
      </c>
    </row>
    <row r="32" spans="2:21" x14ac:dyDescent="0.45">
      <c r="B32" s="16" t="s">
        <v>34</v>
      </c>
      <c r="D32" s="35" t="s">
        <v>62</v>
      </c>
      <c r="E32" s="35" t="s">
        <v>76</v>
      </c>
      <c r="H32" s="18">
        <v>46188</v>
      </c>
      <c r="I32" s="18">
        <f t="shared" si="4"/>
        <v>46200</v>
      </c>
      <c r="J32" s="18">
        <f t="shared" si="5"/>
        <v>46260</v>
      </c>
      <c r="R32" s="15" t="str">
        <f t="shared" si="3"/>
        <v>CONTAINER8</v>
      </c>
      <c r="S32" s="15" t="str">
        <f t="shared" si="7"/>
        <v>August</v>
      </c>
      <c r="T32" s="25" t="str">
        <f t="shared" ca="1" si="10"/>
        <v>12DAYS LEFT</v>
      </c>
      <c r="U32" s="36" t="str">
        <f t="shared" ca="1" si="9"/>
        <v>CUSTOMS CLEARANCE / PORT</v>
      </c>
    </row>
    <row r="33" spans="2:21" x14ac:dyDescent="0.45">
      <c r="B33" s="16" t="s">
        <v>37</v>
      </c>
      <c r="C33" s="34">
        <v>302112882430</v>
      </c>
      <c r="D33" s="35" t="s">
        <v>64</v>
      </c>
      <c r="E33" s="35" t="s">
        <v>76</v>
      </c>
      <c r="H33" s="18">
        <v>46183</v>
      </c>
      <c r="I33" s="18">
        <f t="shared" si="4"/>
        <v>46193</v>
      </c>
      <c r="J33" s="18">
        <f t="shared" si="5"/>
        <v>46253</v>
      </c>
      <c r="R33" s="15" t="str">
        <f t="shared" si="3"/>
        <v>CONTAINER7</v>
      </c>
      <c r="S33" s="15" t="str">
        <f t="shared" si="7"/>
        <v>August</v>
      </c>
      <c r="T33" s="25" t="str">
        <f t="shared" ca="1" si="10"/>
        <v>ARRIVING SOON</v>
      </c>
      <c r="U33" s="36" t="str">
        <f t="shared" ca="1" si="9"/>
        <v>CUSTOMS CLEARANCE / PORT</v>
      </c>
    </row>
    <row r="34" spans="2:21" x14ac:dyDescent="0.45">
      <c r="B34" s="16" t="s">
        <v>37</v>
      </c>
      <c r="C34" s="34">
        <v>79111847922738</v>
      </c>
      <c r="D34" s="35" t="s">
        <v>65</v>
      </c>
      <c r="E34" s="35" t="s">
        <v>76</v>
      </c>
      <c r="H34" s="18">
        <v>46183</v>
      </c>
      <c r="I34" s="18">
        <f t="shared" si="4"/>
        <v>46193</v>
      </c>
      <c r="J34" s="18">
        <f t="shared" si="5"/>
        <v>46253</v>
      </c>
      <c r="R34" s="15" t="str">
        <f t="shared" ref="R34:R61" si="11">"CONTAINER"&amp;MATCH(J34,_xlfn.UNIQUE($J$2:$J$998),0)</f>
        <v>CONTAINER7</v>
      </c>
      <c r="S34" s="15" t="str">
        <f t="shared" si="7"/>
        <v>August</v>
      </c>
      <c r="T34" s="25" t="str">
        <f t="shared" ca="1" si="10"/>
        <v>ARRIVING SOON</v>
      </c>
      <c r="U34" s="36" t="str">
        <f t="shared" ca="1" si="9"/>
        <v>CUSTOMS CLEARANCE / PORT</v>
      </c>
    </row>
    <row r="35" spans="2:21" x14ac:dyDescent="0.45">
      <c r="B35" s="16" t="s">
        <v>37</v>
      </c>
      <c r="C35" s="34">
        <v>465403367376341</v>
      </c>
      <c r="D35" s="35" t="s">
        <v>66</v>
      </c>
      <c r="E35" s="35" t="s">
        <v>76</v>
      </c>
      <c r="H35" s="18">
        <v>46183</v>
      </c>
      <c r="I35" s="18">
        <f t="shared" si="4"/>
        <v>46193</v>
      </c>
      <c r="J35" s="18">
        <f t="shared" si="5"/>
        <v>46253</v>
      </c>
      <c r="R35" s="15" t="str">
        <f t="shared" si="11"/>
        <v>CONTAINER7</v>
      </c>
      <c r="S35" s="15" t="str">
        <f t="shared" si="7"/>
        <v>August</v>
      </c>
      <c r="T35" s="25" t="str">
        <f t="shared" ca="1" si="10"/>
        <v>ARRIVING SOON</v>
      </c>
      <c r="U35" s="36" t="str">
        <f t="shared" ca="1" si="9"/>
        <v>CUSTOMS CLEARANCE / PORT</v>
      </c>
    </row>
    <row r="36" spans="2:21" x14ac:dyDescent="0.45">
      <c r="B36" s="16" t="s">
        <v>46</v>
      </c>
      <c r="C36" s="34">
        <v>773426004468134</v>
      </c>
      <c r="D36" s="35" t="s">
        <v>67</v>
      </c>
      <c r="E36" s="35" t="s">
        <v>74</v>
      </c>
      <c r="H36" s="18">
        <v>46188</v>
      </c>
      <c r="I36" s="18">
        <f>H36+7+MOD(7-WEEKDAY(H36+7),7)</f>
        <v>46200</v>
      </c>
      <c r="J36" s="18">
        <f t="shared" si="5"/>
        <v>46260</v>
      </c>
      <c r="R36" s="15" t="str">
        <f t="shared" si="11"/>
        <v>CONTAINER8</v>
      </c>
      <c r="S36" s="15" t="str">
        <f t="shared" si="7"/>
        <v>August</v>
      </c>
      <c r="T36" s="25" t="str">
        <f t="shared" ca="1" si="10"/>
        <v>12DAYS LEFT</v>
      </c>
      <c r="U36" s="36" t="str">
        <f t="shared" ca="1" si="9"/>
        <v>CUSTOMS CLEARANCE / PORT</v>
      </c>
    </row>
    <row r="37" spans="2:21" x14ac:dyDescent="0.45">
      <c r="B37" s="16" t="s">
        <v>46</v>
      </c>
      <c r="C37" s="34" t="s">
        <v>68</v>
      </c>
      <c r="E37" s="35" t="s">
        <v>74</v>
      </c>
      <c r="H37" s="18">
        <v>46188</v>
      </c>
      <c r="I37" s="39">
        <f t="shared" si="4"/>
        <v>46200</v>
      </c>
      <c r="J37" s="18">
        <f t="shared" si="5"/>
        <v>46260</v>
      </c>
      <c r="R37" s="15" t="str">
        <f t="shared" si="11"/>
        <v>CONTAINER8</v>
      </c>
      <c r="S37" s="15" t="str">
        <f t="shared" si="7"/>
        <v>August</v>
      </c>
      <c r="T37" s="25" t="str">
        <f t="shared" ca="1" si="10"/>
        <v>12DAYS LEFT</v>
      </c>
      <c r="U37" s="36" t="str">
        <f t="shared" ca="1" si="9"/>
        <v>CUSTOMS CLEARANCE / PORT</v>
      </c>
    </row>
    <row r="38" spans="2:21" x14ac:dyDescent="0.45">
      <c r="B38" s="16" t="s">
        <v>46</v>
      </c>
      <c r="C38" s="34">
        <v>465413066255482</v>
      </c>
      <c r="E38" s="35" t="s">
        <v>74</v>
      </c>
      <c r="H38" s="18">
        <v>46188</v>
      </c>
      <c r="I38" s="39">
        <v>46200</v>
      </c>
      <c r="J38" s="18">
        <f t="shared" si="5"/>
        <v>46260</v>
      </c>
      <c r="R38" s="15" t="str">
        <f t="shared" si="11"/>
        <v>CONTAINER8</v>
      </c>
      <c r="S38" s="15" t="str">
        <f t="shared" si="7"/>
        <v>August</v>
      </c>
      <c r="T38" s="25" t="str">
        <f t="shared" ca="1" si="10"/>
        <v>12DAYS LEFT</v>
      </c>
      <c r="U38" s="36" t="str">
        <f t="shared" ca="1" si="9"/>
        <v>CUSTOMS CLEARANCE / PORT</v>
      </c>
    </row>
    <row r="39" spans="2:21" x14ac:dyDescent="0.45">
      <c r="B39" s="16" t="s">
        <v>71</v>
      </c>
      <c r="D39" s="35" t="s">
        <v>72</v>
      </c>
      <c r="E39" s="35" t="s">
        <v>76</v>
      </c>
      <c r="H39" s="18">
        <v>46189</v>
      </c>
      <c r="I39" s="39">
        <f t="shared" si="4"/>
        <v>46200</v>
      </c>
      <c r="J39" s="18">
        <f t="shared" si="5"/>
        <v>46260</v>
      </c>
      <c r="R39" s="15" t="str">
        <f t="shared" si="11"/>
        <v>CONTAINER8</v>
      </c>
      <c r="S39" s="15" t="str">
        <f t="shared" si="7"/>
        <v>August</v>
      </c>
      <c r="T39" s="25" t="str">
        <f t="shared" ca="1" si="10"/>
        <v>12DAYS LEFT</v>
      </c>
      <c r="U39" s="36" t="str">
        <f t="shared" ca="1" si="9"/>
        <v>CUSTOMS CLEARANCE / PORT</v>
      </c>
    </row>
    <row r="40" spans="2:21" x14ac:dyDescent="0.45">
      <c r="B40" s="16" t="s">
        <v>78</v>
      </c>
      <c r="D40" s="35" t="s">
        <v>79</v>
      </c>
      <c r="E40" s="35" t="s">
        <v>76</v>
      </c>
      <c r="H40" s="18">
        <v>46188</v>
      </c>
      <c r="I40" s="39">
        <f t="shared" si="4"/>
        <v>46200</v>
      </c>
      <c r="J40" s="18">
        <f t="shared" si="5"/>
        <v>46260</v>
      </c>
      <c r="R40" s="15" t="str">
        <f t="shared" si="11"/>
        <v>CONTAINER8</v>
      </c>
      <c r="S40" s="15" t="str">
        <f t="shared" si="7"/>
        <v>August</v>
      </c>
      <c r="T40" s="25" t="str">
        <f t="shared" ca="1" si="10"/>
        <v>12DAYS LEFT</v>
      </c>
      <c r="U40" s="36" t="str">
        <f t="shared" ca="1" si="9"/>
        <v>CUSTOMS CLEARANCE / PORT</v>
      </c>
    </row>
    <row r="41" spans="2:21" x14ac:dyDescent="0.45">
      <c r="B41" s="16" t="s">
        <v>80</v>
      </c>
      <c r="C41" s="34" t="s">
        <v>81</v>
      </c>
      <c r="D41" s="35" t="s">
        <v>82</v>
      </c>
      <c r="E41" s="35" t="s">
        <v>74</v>
      </c>
      <c r="H41" s="18">
        <v>46188</v>
      </c>
      <c r="I41" s="39">
        <f t="shared" si="4"/>
        <v>46200</v>
      </c>
      <c r="J41" s="18">
        <f t="shared" si="5"/>
        <v>46260</v>
      </c>
      <c r="R41" s="15" t="str">
        <f t="shared" si="11"/>
        <v>CONTAINER8</v>
      </c>
      <c r="S41" s="15" t="str">
        <f t="shared" si="7"/>
        <v>August</v>
      </c>
      <c r="T41" s="25" t="str">
        <f t="shared" ca="1" si="10"/>
        <v>12DAYS LEFT</v>
      </c>
      <c r="U41" s="36" t="str">
        <f t="shared" ca="1" si="9"/>
        <v>CUSTOMS CLEARANCE / PORT</v>
      </c>
    </row>
    <row r="42" spans="2:21" x14ac:dyDescent="0.45">
      <c r="B42" s="16" t="s">
        <v>34</v>
      </c>
      <c r="C42" s="34">
        <v>9822557612851</v>
      </c>
      <c r="E42" s="35" t="s">
        <v>76</v>
      </c>
      <c r="H42" s="18">
        <v>46190</v>
      </c>
      <c r="I42" s="53">
        <f t="shared" si="4"/>
        <v>46200</v>
      </c>
      <c r="J42" s="18">
        <f t="shared" si="5"/>
        <v>46260</v>
      </c>
      <c r="R42" s="15" t="str">
        <f t="shared" si="11"/>
        <v>CONTAINER8</v>
      </c>
      <c r="S42" s="15" t="str">
        <f t="shared" si="7"/>
        <v>August</v>
      </c>
      <c r="T42" s="25" t="str">
        <f t="shared" ca="1" si="10"/>
        <v>12DAYS LEFT</v>
      </c>
      <c r="U42" s="36" t="str">
        <f t="shared" ca="1" si="9"/>
        <v>CUSTOMS CLEARANCE / PORT</v>
      </c>
    </row>
    <row r="43" spans="2:21" x14ac:dyDescent="0.45">
      <c r="B43" s="16" t="s">
        <v>34</v>
      </c>
      <c r="C43" s="34">
        <v>9822557564741</v>
      </c>
      <c r="E43" s="35" t="s">
        <v>76</v>
      </c>
      <c r="H43" s="18">
        <v>46190</v>
      </c>
      <c r="I43" s="53">
        <f t="shared" si="4"/>
        <v>46200</v>
      </c>
      <c r="J43" s="18">
        <f t="shared" si="5"/>
        <v>46260</v>
      </c>
      <c r="R43" s="15" t="str">
        <f t="shared" si="11"/>
        <v>CONTAINER8</v>
      </c>
      <c r="S43" s="15" t="str">
        <f t="shared" si="7"/>
        <v>August</v>
      </c>
      <c r="T43" s="25" t="str">
        <f t="shared" ca="1" si="10"/>
        <v>12DAYS LEFT</v>
      </c>
      <c r="U43" s="36" t="str">
        <f t="shared" ca="1" si="9"/>
        <v>CUSTOMS CLEARANCE / PORT</v>
      </c>
    </row>
    <row r="44" spans="2:21" x14ac:dyDescent="0.45">
      <c r="B44" s="16" t="s">
        <v>34</v>
      </c>
      <c r="C44" s="34" t="s">
        <v>83</v>
      </c>
      <c r="E44" s="35" t="s">
        <v>76</v>
      </c>
      <c r="H44" s="18">
        <v>46190</v>
      </c>
      <c r="I44" s="53">
        <f t="shared" si="4"/>
        <v>46200</v>
      </c>
      <c r="J44" s="18">
        <f t="shared" si="5"/>
        <v>46260</v>
      </c>
      <c r="R44" s="15" t="str">
        <f t="shared" si="11"/>
        <v>CONTAINER8</v>
      </c>
      <c r="S44" s="15" t="str">
        <f t="shared" si="7"/>
        <v>August</v>
      </c>
      <c r="T44" s="25" t="str">
        <f t="shared" ca="1" si="10"/>
        <v>12DAYS LEFT</v>
      </c>
      <c r="U44" s="36" t="str">
        <f t="shared" ca="1" si="9"/>
        <v>CUSTOMS CLEARANCE / PORT</v>
      </c>
    </row>
    <row r="45" spans="2:21" x14ac:dyDescent="0.45">
      <c r="B45" s="16" t="s">
        <v>34</v>
      </c>
      <c r="C45" s="34" t="s">
        <v>84</v>
      </c>
      <c r="E45" s="35" t="s">
        <v>76</v>
      </c>
      <c r="H45" s="18">
        <v>46190</v>
      </c>
      <c r="I45" s="53">
        <f t="shared" si="4"/>
        <v>46200</v>
      </c>
      <c r="J45" s="18">
        <f t="shared" si="5"/>
        <v>46260</v>
      </c>
      <c r="R45" s="15" t="str">
        <f t="shared" si="11"/>
        <v>CONTAINER8</v>
      </c>
      <c r="S45" s="15" t="str">
        <f t="shared" si="7"/>
        <v>August</v>
      </c>
      <c r="T45" s="25" t="str">
        <f t="shared" ca="1" si="10"/>
        <v>12DAYS LEFT</v>
      </c>
      <c r="U45" s="36" t="str">
        <f t="shared" ca="1" si="9"/>
        <v>CUSTOMS CLEARANCE / PORT</v>
      </c>
    </row>
    <row r="46" spans="2:21" x14ac:dyDescent="0.45">
      <c r="B46" s="16" t="s">
        <v>34</v>
      </c>
      <c r="C46" s="34">
        <v>7901170051617</v>
      </c>
      <c r="E46" s="35" t="s">
        <v>76</v>
      </c>
      <c r="H46" s="18">
        <v>46190</v>
      </c>
      <c r="I46" s="53">
        <f t="shared" si="4"/>
        <v>46200</v>
      </c>
      <c r="J46" s="18">
        <f t="shared" si="5"/>
        <v>46260</v>
      </c>
      <c r="R46" s="15" t="str">
        <f t="shared" si="11"/>
        <v>CONTAINER8</v>
      </c>
      <c r="S46" s="15" t="str">
        <f t="shared" si="7"/>
        <v>August</v>
      </c>
      <c r="T46" s="25" t="str">
        <f t="shared" ca="1" si="10"/>
        <v>12DAYS LEFT</v>
      </c>
      <c r="U46" s="36" t="str">
        <f t="shared" ca="1" si="9"/>
        <v>CUSTOMS CLEARANCE / PORT</v>
      </c>
    </row>
    <row r="47" spans="2:21" x14ac:dyDescent="0.45">
      <c r="B47" s="16" t="s">
        <v>34</v>
      </c>
      <c r="C47" s="34">
        <v>79011729975623</v>
      </c>
      <c r="E47" s="35" t="s">
        <v>76</v>
      </c>
      <c r="H47" s="18">
        <v>46190</v>
      </c>
      <c r="I47" s="53">
        <f t="shared" si="4"/>
        <v>46200</v>
      </c>
      <c r="J47" s="18">
        <f t="shared" si="5"/>
        <v>46260</v>
      </c>
      <c r="R47" s="15" t="str">
        <f t="shared" si="11"/>
        <v>CONTAINER8</v>
      </c>
      <c r="S47" s="15" t="str">
        <f t="shared" si="7"/>
        <v>August</v>
      </c>
      <c r="T47" s="25" t="str">
        <f t="shared" ca="1" si="10"/>
        <v>12DAYS LEFT</v>
      </c>
      <c r="U47" s="36" t="str">
        <f t="shared" ca="1" si="9"/>
        <v>CUSTOMS CLEARANCE / PORT</v>
      </c>
    </row>
    <row r="48" spans="2:21" x14ac:dyDescent="0.45">
      <c r="B48" s="16" t="s">
        <v>34</v>
      </c>
      <c r="C48" s="34">
        <v>79011730360132</v>
      </c>
      <c r="E48" s="35" t="s">
        <v>76</v>
      </c>
      <c r="H48" s="18">
        <v>46190</v>
      </c>
      <c r="I48" s="53">
        <f t="shared" si="4"/>
        <v>46200</v>
      </c>
      <c r="J48" s="18">
        <f t="shared" si="5"/>
        <v>46260</v>
      </c>
      <c r="R48" s="15" t="str">
        <f t="shared" si="11"/>
        <v>CONTAINER8</v>
      </c>
      <c r="S48" s="15" t="str">
        <f t="shared" si="7"/>
        <v>August</v>
      </c>
      <c r="T48" s="25" t="str">
        <f t="shared" ca="1" si="10"/>
        <v>12DAYS LEFT</v>
      </c>
      <c r="U48" s="36" t="str">
        <f t="shared" ca="1" si="9"/>
        <v>CUSTOMS CLEARANCE / PORT</v>
      </c>
    </row>
    <row r="49" spans="2:21" s="72" customFormat="1" x14ac:dyDescent="0.45">
      <c r="B49" s="73" t="s">
        <v>85</v>
      </c>
      <c r="C49" s="74">
        <v>79009961004115</v>
      </c>
      <c r="D49" s="75"/>
      <c r="E49" s="75" t="s">
        <v>74</v>
      </c>
      <c r="F49" s="75"/>
      <c r="G49" s="75"/>
      <c r="H49" s="76">
        <v>46190</v>
      </c>
      <c r="I49" s="76">
        <f t="shared" si="4"/>
        <v>46200</v>
      </c>
      <c r="J49" s="18">
        <f t="shared" si="5"/>
        <v>46260</v>
      </c>
      <c r="K49" s="77"/>
      <c r="L49" s="77"/>
      <c r="M49" s="77"/>
      <c r="N49" s="78"/>
      <c r="O49" s="78"/>
      <c r="P49" s="77"/>
      <c r="Q49" s="77"/>
      <c r="R49" s="77" t="str">
        <f t="shared" si="11"/>
        <v>CONTAINER8</v>
      </c>
      <c r="S49" s="77" t="str">
        <f t="shared" si="7"/>
        <v>August</v>
      </c>
      <c r="T49" s="25" t="str">
        <f t="shared" ca="1" si="10"/>
        <v>12DAYS LEFT</v>
      </c>
      <c r="U49" s="77" t="str">
        <f t="shared" ca="1" si="9"/>
        <v>CUSTOMS CLEARANCE / PORT</v>
      </c>
    </row>
    <row r="50" spans="2:21" s="79" customFormat="1" x14ac:dyDescent="0.45">
      <c r="B50" s="80" t="s">
        <v>42</v>
      </c>
      <c r="C50" s="81">
        <v>79012140234170</v>
      </c>
      <c r="D50" s="82"/>
      <c r="E50" s="82" t="s">
        <v>76</v>
      </c>
      <c r="F50" s="82"/>
      <c r="G50" s="82"/>
      <c r="H50" s="83">
        <v>46191</v>
      </c>
      <c r="I50" s="83">
        <f t="shared" si="4"/>
        <v>46200</v>
      </c>
      <c r="J50" s="18">
        <f t="shared" si="5"/>
        <v>46260</v>
      </c>
      <c r="K50" s="84"/>
      <c r="L50" s="84"/>
      <c r="M50" s="84"/>
      <c r="N50" s="85"/>
      <c r="O50" s="85"/>
      <c r="P50" s="84"/>
      <c r="Q50" s="84"/>
      <c r="R50" s="84" t="str">
        <f t="shared" si="11"/>
        <v>CONTAINER8</v>
      </c>
      <c r="S50" s="84" t="str">
        <f t="shared" si="7"/>
        <v>August</v>
      </c>
      <c r="T50" s="25" t="str">
        <f t="shared" ca="1" si="10"/>
        <v>12DAYS LEFT</v>
      </c>
      <c r="U50" s="86" t="str">
        <f t="shared" ca="1" si="9"/>
        <v>CUSTOMS CLEARANCE / PORT</v>
      </c>
    </row>
    <row r="51" spans="2:21" s="79" customFormat="1" x14ac:dyDescent="0.45">
      <c r="B51" s="80" t="s">
        <v>42</v>
      </c>
      <c r="C51" s="81">
        <v>79012034492045</v>
      </c>
      <c r="D51" s="82"/>
      <c r="E51" s="82" t="s">
        <v>76</v>
      </c>
      <c r="F51" s="82"/>
      <c r="G51" s="82"/>
      <c r="H51" s="83">
        <v>46191</v>
      </c>
      <c r="I51" s="83">
        <f t="shared" si="4"/>
        <v>46200</v>
      </c>
      <c r="J51" s="18">
        <f t="shared" si="5"/>
        <v>46260</v>
      </c>
      <c r="K51" s="84"/>
      <c r="L51" s="84"/>
      <c r="M51" s="84"/>
      <c r="N51" s="85"/>
      <c r="O51" s="85"/>
      <c r="P51" s="84"/>
      <c r="Q51" s="84"/>
      <c r="R51" s="84" t="str">
        <f t="shared" si="11"/>
        <v>CONTAINER8</v>
      </c>
      <c r="S51" s="84" t="str">
        <f t="shared" si="7"/>
        <v>August</v>
      </c>
      <c r="T51" s="25" t="str">
        <f t="shared" ca="1" si="10"/>
        <v>12DAYS LEFT</v>
      </c>
      <c r="U51" s="86" t="str">
        <f t="shared" ca="1" si="9"/>
        <v>CUSTOMS CLEARANCE / PORT</v>
      </c>
    </row>
    <row r="52" spans="2:21" s="79" customFormat="1" x14ac:dyDescent="0.45">
      <c r="B52" s="80" t="s">
        <v>34</v>
      </c>
      <c r="C52" s="81">
        <v>9822565951542</v>
      </c>
      <c r="D52" s="82"/>
      <c r="E52" s="82" t="s">
        <v>76</v>
      </c>
      <c r="F52" s="82"/>
      <c r="G52" s="82"/>
      <c r="H52" s="83">
        <v>46191</v>
      </c>
      <c r="I52" s="83">
        <f t="shared" si="4"/>
        <v>46200</v>
      </c>
      <c r="J52" s="18">
        <f t="shared" si="5"/>
        <v>46260</v>
      </c>
      <c r="K52" s="84"/>
      <c r="L52" s="84"/>
      <c r="M52" s="84"/>
      <c r="N52" s="85"/>
      <c r="O52" s="85"/>
      <c r="P52" s="84"/>
      <c r="Q52" s="84"/>
      <c r="R52" s="84" t="str">
        <f t="shared" si="11"/>
        <v>CONTAINER8</v>
      </c>
      <c r="S52" s="84" t="str">
        <f t="shared" si="7"/>
        <v>August</v>
      </c>
      <c r="T52" s="25" t="str">
        <f t="shared" ca="1" si="10"/>
        <v>12DAYS LEFT</v>
      </c>
      <c r="U52" s="86" t="str">
        <f t="shared" ca="1" si="9"/>
        <v>CUSTOMS CLEARANCE / PORT</v>
      </c>
    </row>
    <row r="53" spans="2:21" s="79" customFormat="1" x14ac:dyDescent="0.45">
      <c r="B53" s="80" t="s">
        <v>34</v>
      </c>
      <c r="C53" s="81">
        <v>9822565951541</v>
      </c>
      <c r="D53" s="82"/>
      <c r="E53" s="82" t="s">
        <v>76</v>
      </c>
      <c r="F53" s="82"/>
      <c r="G53" s="82"/>
      <c r="H53" s="83">
        <v>46191</v>
      </c>
      <c r="I53" s="83">
        <f t="shared" si="4"/>
        <v>46200</v>
      </c>
      <c r="J53" s="18">
        <f t="shared" si="5"/>
        <v>46260</v>
      </c>
      <c r="K53" s="84"/>
      <c r="L53" s="84"/>
      <c r="M53" s="84"/>
      <c r="N53" s="85"/>
      <c r="O53" s="85"/>
      <c r="P53" s="84"/>
      <c r="Q53" s="84"/>
      <c r="R53" s="84" t="str">
        <f t="shared" si="11"/>
        <v>CONTAINER8</v>
      </c>
      <c r="S53" s="84" t="str">
        <f t="shared" si="7"/>
        <v>August</v>
      </c>
      <c r="T53" s="25" t="str">
        <f t="shared" ca="1" si="10"/>
        <v>12DAYS LEFT</v>
      </c>
      <c r="U53" s="86" t="str">
        <f t="shared" ca="1" si="9"/>
        <v>CUSTOMS CLEARANCE / PORT</v>
      </c>
    </row>
    <row r="54" spans="2:21" s="79" customFormat="1" x14ac:dyDescent="0.45">
      <c r="B54" s="80" t="s">
        <v>34</v>
      </c>
      <c r="C54" s="81">
        <v>46542293717848</v>
      </c>
      <c r="D54" s="82"/>
      <c r="E54" s="82" t="s">
        <v>76</v>
      </c>
      <c r="F54" s="82"/>
      <c r="G54" s="82"/>
      <c r="H54" s="83">
        <v>46191</v>
      </c>
      <c r="I54" s="83">
        <f t="shared" si="4"/>
        <v>46200</v>
      </c>
      <c r="J54" s="18">
        <f t="shared" si="5"/>
        <v>46260</v>
      </c>
      <c r="K54" s="84"/>
      <c r="L54" s="84"/>
      <c r="M54" s="84"/>
      <c r="N54" s="85"/>
      <c r="O54" s="85"/>
      <c r="P54" s="84"/>
      <c r="Q54" s="84"/>
      <c r="R54" s="84" t="str">
        <f t="shared" si="11"/>
        <v>CONTAINER8</v>
      </c>
      <c r="S54" s="84" t="str">
        <f t="shared" si="7"/>
        <v>August</v>
      </c>
      <c r="T54" s="25" t="str">
        <f t="shared" ca="1" si="10"/>
        <v>12DAYS LEFT</v>
      </c>
      <c r="U54" s="86" t="str">
        <f t="shared" ca="1" si="9"/>
        <v>CUSTOMS CLEARANCE / PORT</v>
      </c>
    </row>
    <row r="55" spans="2:21" s="79" customFormat="1" x14ac:dyDescent="0.45">
      <c r="B55" s="80" t="s">
        <v>88</v>
      </c>
      <c r="C55" s="81" t="s">
        <v>87</v>
      </c>
      <c r="D55" s="82"/>
      <c r="E55" s="82" t="s">
        <v>74</v>
      </c>
      <c r="F55" s="82"/>
      <c r="G55" s="82"/>
      <c r="H55" s="83">
        <v>46191</v>
      </c>
      <c r="I55" s="83">
        <f t="shared" si="4"/>
        <v>46200</v>
      </c>
      <c r="J55" s="18">
        <f t="shared" si="5"/>
        <v>46260</v>
      </c>
      <c r="K55" s="84"/>
      <c r="L55" s="84"/>
      <c r="M55" s="84"/>
      <c r="N55" s="85"/>
      <c r="O55" s="85"/>
      <c r="P55" s="84"/>
      <c r="Q55" s="84"/>
      <c r="R55" s="84" t="str">
        <f t="shared" si="11"/>
        <v>CONTAINER8</v>
      </c>
      <c r="S55" s="84" t="str">
        <f t="shared" si="7"/>
        <v>August</v>
      </c>
      <c r="T55" s="25" t="str">
        <f t="shared" ca="1" si="10"/>
        <v>12DAYS LEFT</v>
      </c>
      <c r="U55" s="86" t="str">
        <f t="shared" ca="1" si="9"/>
        <v>CUSTOMS CLEARANCE / PORT</v>
      </c>
    </row>
    <row r="56" spans="2:21" s="79" customFormat="1" x14ac:dyDescent="0.45">
      <c r="B56" s="80" t="s">
        <v>41</v>
      </c>
      <c r="C56" s="81">
        <v>773426732075541</v>
      </c>
      <c r="D56" s="82"/>
      <c r="E56" s="82" t="s">
        <v>76</v>
      </c>
      <c r="F56" s="82"/>
      <c r="G56" s="82"/>
      <c r="H56" s="83">
        <v>46191</v>
      </c>
      <c r="I56" s="83">
        <f t="shared" si="4"/>
        <v>46200</v>
      </c>
      <c r="J56" s="18">
        <f t="shared" si="5"/>
        <v>46260</v>
      </c>
      <c r="K56" s="84"/>
      <c r="L56" s="84"/>
      <c r="M56" s="84"/>
      <c r="N56" s="85"/>
      <c r="O56" s="85"/>
      <c r="P56" s="84"/>
      <c r="Q56" s="84"/>
      <c r="R56" s="84" t="str">
        <f t="shared" si="11"/>
        <v>CONTAINER8</v>
      </c>
      <c r="S56" s="84" t="str">
        <f t="shared" si="7"/>
        <v>August</v>
      </c>
      <c r="T56" s="25" t="str">
        <f t="shared" ca="1" si="10"/>
        <v>12DAYS LEFT</v>
      </c>
      <c r="U56" s="86" t="str">
        <f t="shared" ca="1" si="9"/>
        <v>CUSTOMS CLEARANCE / PORT</v>
      </c>
    </row>
    <row r="57" spans="2:21" s="79" customFormat="1" x14ac:dyDescent="0.45">
      <c r="B57" s="80" t="s">
        <v>52</v>
      </c>
      <c r="C57" s="81"/>
      <c r="D57" s="82" t="s">
        <v>89</v>
      </c>
      <c r="E57" s="82" t="s">
        <v>76</v>
      </c>
      <c r="F57" s="82"/>
      <c r="G57" s="82"/>
      <c r="H57" s="83">
        <v>46191</v>
      </c>
      <c r="I57" s="83">
        <f t="shared" si="4"/>
        <v>46200</v>
      </c>
      <c r="J57" s="18">
        <f t="shared" si="5"/>
        <v>46260</v>
      </c>
      <c r="K57" s="84"/>
      <c r="L57" s="84"/>
      <c r="M57" s="84"/>
      <c r="N57" s="85"/>
      <c r="O57" s="85"/>
      <c r="P57" s="84"/>
      <c r="Q57" s="84"/>
      <c r="R57" s="84" t="str">
        <f t="shared" si="11"/>
        <v>CONTAINER8</v>
      </c>
      <c r="S57" s="84" t="str">
        <f t="shared" si="7"/>
        <v>August</v>
      </c>
      <c r="T57" s="25" t="str">
        <f t="shared" ca="1" si="10"/>
        <v>12DAYS LEFT</v>
      </c>
      <c r="U57" s="86" t="str">
        <f t="shared" ca="1" si="9"/>
        <v>CUSTOMS CLEARANCE / PORT</v>
      </c>
    </row>
    <row r="58" spans="2:21" s="79" customFormat="1" x14ac:dyDescent="0.45">
      <c r="B58" s="87" t="s">
        <v>86</v>
      </c>
      <c r="C58" s="81">
        <v>79012434915757</v>
      </c>
      <c r="D58" s="82"/>
      <c r="E58" s="82" t="s">
        <v>74</v>
      </c>
      <c r="F58" s="82"/>
      <c r="G58" s="82"/>
      <c r="H58" s="83">
        <v>46191</v>
      </c>
      <c r="I58" s="83">
        <f t="shared" si="4"/>
        <v>46200</v>
      </c>
      <c r="J58" s="18">
        <f t="shared" si="5"/>
        <v>46260</v>
      </c>
      <c r="K58" s="84"/>
      <c r="L58" s="84"/>
      <c r="M58" s="84"/>
      <c r="N58" s="85"/>
      <c r="O58" s="85"/>
      <c r="P58" s="84"/>
      <c r="Q58" s="84"/>
      <c r="R58" s="84" t="str">
        <f t="shared" si="11"/>
        <v>CONTAINER8</v>
      </c>
      <c r="S58" s="84" t="str">
        <f t="shared" ref="S58:S95" si="12">TEXT(J58,"MMMM")</f>
        <v>August</v>
      </c>
      <c r="T58" s="25" t="str">
        <f t="shared" ca="1" si="10"/>
        <v>12DAYS LEFT</v>
      </c>
      <c r="U58" s="86" t="str">
        <f t="shared" ref="U58:U95" ca="1" si="13">IF(TODAY()&gt;J58+MOD(4-WEEKDAY(J58),7)," DELIVERED AT WAREHOUSE", IF(J58-TODAY()&gt;45, "ORIGIN (CHINA)", IF(J58-TODAY()&gt;15, "SEA TRANSIT", "CUSTOMS CLEARANCE / PORT")))</f>
        <v>CUSTOMS CLEARANCE / PORT</v>
      </c>
    </row>
    <row r="59" spans="2:21" s="79" customFormat="1" x14ac:dyDescent="0.45">
      <c r="B59" s="80" t="s">
        <v>42</v>
      </c>
      <c r="C59" s="81">
        <v>9822532635399</v>
      </c>
      <c r="D59" s="82"/>
      <c r="E59" s="82" t="s">
        <v>76</v>
      </c>
      <c r="F59" s="82"/>
      <c r="G59" s="82"/>
      <c r="H59" s="83">
        <v>46191</v>
      </c>
      <c r="I59" s="83">
        <f t="shared" si="4"/>
        <v>46200</v>
      </c>
      <c r="J59" s="18">
        <f t="shared" si="5"/>
        <v>46260</v>
      </c>
      <c r="K59" s="84"/>
      <c r="L59" s="84"/>
      <c r="M59" s="84"/>
      <c r="N59" s="85"/>
      <c r="O59" s="85"/>
      <c r="P59" s="84"/>
      <c r="Q59" s="84"/>
      <c r="R59" s="84" t="str">
        <f t="shared" si="11"/>
        <v>CONTAINER8</v>
      </c>
      <c r="S59" s="84" t="str">
        <f t="shared" si="12"/>
        <v>August</v>
      </c>
      <c r="T59" s="25" t="str">
        <f t="shared" ca="1" si="10"/>
        <v>12DAYS LEFT</v>
      </c>
      <c r="U59" s="86" t="str">
        <f t="shared" ca="1" si="13"/>
        <v>CUSTOMS CLEARANCE / PORT</v>
      </c>
    </row>
    <row r="60" spans="2:21" s="79" customFormat="1" x14ac:dyDescent="0.45">
      <c r="B60" s="80" t="s">
        <v>90</v>
      </c>
      <c r="C60" s="81" t="s">
        <v>91</v>
      </c>
      <c r="D60" s="82"/>
      <c r="E60" s="82" t="s">
        <v>74</v>
      </c>
      <c r="F60" s="82"/>
      <c r="G60" s="82"/>
      <c r="H60" s="83">
        <v>46191</v>
      </c>
      <c r="I60" s="83">
        <f t="shared" si="4"/>
        <v>46200</v>
      </c>
      <c r="J60" s="18">
        <f t="shared" si="5"/>
        <v>46260</v>
      </c>
      <c r="K60" s="84"/>
      <c r="L60" s="84"/>
      <c r="M60" s="84"/>
      <c r="N60" s="85"/>
      <c r="O60" s="85"/>
      <c r="P60" s="84"/>
      <c r="Q60" s="84"/>
      <c r="R60" s="84" t="str">
        <f t="shared" si="11"/>
        <v>CONTAINER8</v>
      </c>
      <c r="S60" s="84" t="str">
        <f t="shared" si="12"/>
        <v>August</v>
      </c>
      <c r="T60" s="25" t="str">
        <f t="shared" ca="1" si="10"/>
        <v>12DAYS LEFT</v>
      </c>
      <c r="U60" s="86" t="str">
        <f t="shared" ca="1" si="13"/>
        <v>CUSTOMS CLEARANCE / PORT</v>
      </c>
    </row>
    <row r="61" spans="2:21" s="79" customFormat="1" x14ac:dyDescent="0.45">
      <c r="B61" s="80" t="s">
        <v>90</v>
      </c>
      <c r="C61" s="81" t="s">
        <v>92</v>
      </c>
      <c r="D61" s="82"/>
      <c r="E61" s="82" t="s">
        <v>74</v>
      </c>
      <c r="F61" s="82"/>
      <c r="G61" s="82"/>
      <c r="H61" s="83">
        <v>46192</v>
      </c>
      <c r="I61" s="83">
        <f t="shared" si="4"/>
        <v>46200</v>
      </c>
      <c r="J61" s="18">
        <f t="shared" si="5"/>
        <v>46260</v>
      </c>
      <c r="K61" s="84"/>
      <c r="L61" s="84"/>
      <c r="M61" s="84"/>
      <c r="N61" s="85"/>
      <c r="O61" s="85"/>
      <c r="P61" s="84"/>
      <c r="Q61" s="84"/>
      <c r="R61" s="84" t="str">
        <f t="shared" si="11"/>
        <v>CONTAINER8</v>
      </c>
      <c r="S61" s="84" t="str">
        <f t="shared" si="12"/>
        <v>August</v>
      </c>
      <c r="T61" s="25" t="str">
        <f t="shared" ca="1" si="10"/>
        <v>12DAYS LEFT</v>
      </c>
      <c r="U61" s="86" t="str">
        <f t="shared" ca="1" si="13"/>
        <v>CUSTOMS CLEARANCE / PORT</v>
      </c>
    </row>
    <row r="62" spans="2:21" s="129" customFormat="1" x14ac:dyDescent="0.45">
      <c r="B62" s="121" t="s">
        <v>98</v>
      </c>
      <c r="C62" s="122">
        <v>773427144786906</v>
      </c>
      <c r="D62" s="123" t="s">
        <v>99</v>
      </c>
      <c r="E62" s="123" t="s">
        <v>75</v>
      </c>
      <c r="F62" s="123"/>
      <c r="G62" s="123"/>
      <c r="H62" s="124">
        <v>46193</v>
      </c>
      <c r="I62" s="124">
        <f t="shared" si="4"/>
        <v>46200</v>
      </c>
      <c r="J62" s="124">
        <f t="shared" si="5"/>
        <v>46260</v>
      </c>
      <c r="K62" s="125"/>
      <c r="L62" s="125"/>
      <c r="M62" s="125"/>
      <c r="N62" s="126"/>
      <c r="O62" s="126"/>
      <c r="P62" s="125"/>
      <c r="Q62" s="125"/>
      <c r="R62" s="125"/>
      <c r="S62" s="125" t="str">
        <f t="shared" si="12"/>
        <v>August</v>
      </c>
      <c r="T62" s="127" t="str">
        <f t="shared" ca="1" si="10"/>
        <v>12DAYS LEFT</v>
      </c>
      <c r="U62" s="128" t="str">
        <f t="shared" ca="1" si="13"/>
        <v>CUSTOMS CLEARANCE / PORT</v>
      </c>
    </row>
    <row r="63" spans="2:21" s="58" customFormat="1" x14ac:dyDescent="0.45">
      <c r="B63" s="59" t="s">
        <v>98</v>
      </c>
      <c r="C63" s="60">
        <v>9822572071083</v>
      </c>
      <c r="D63" s="61" t="s">
        <v>100</v>
      </c>
      <c r="E63" s="61" t="s">
        <v>75</v>
      </c>
      <c r="F63" s="61"/>
      <c r="G63" s="61"/>
      <c r="H63" s="62">
        <v>46193</v>
      </c>
      <c r="I63" s="62">
        <f t="shared" si="4"/>
        <v>46200</v>
      </c>
      <c r="J63" s="18">
        <f t="shared" si="5"/>
        <v>46260</v>
      </c>
      <c r="K63" s="63"/>
      <c r="L63" s="63"/>
      <c r="M63" s="63"/>
      <c r="N63" s="64"/>
      <c r="O63" s="64"/>
      <c r="P63" s="63"/>
      <c r="Q63" s="63"/>
      <c r="R63" s="63"/>
      <c r="S63" s="84" t="str">
        <f t="shared" si="12"/>
        <v>August</v>
      </c>
      <c r="T63" s="25" t="str">
        <f t="shared" ca="1" si="10"/>
        <v>12DAYS LEFT</v>
      </c>
      <c r="U63" s="86" t="str">
        <f t="shared" ca="1" si="13"/>
        <v>CUSTOMS CLEARANCE / PORT</v>
      </c>
    </row>
    <row r="64" spans="2:21" s="58" customFormat="1" x14ac:dyDescent="0.45">
      <c r="B64" s="59" t="s">
        <v>98</v>
      </c>
      <c r="C64" s="60" t="s">
        <v>101</v>
      </c>
      <c r="D64" s="61" t="s">
        <v>102</v>
      </c>
      <c r="E64" s="61" t="s">
        <v>76</v>
      </c>
      <c r="F64" s="61"/>
      <c r="G64" s="61"/>
      <c r="H64" s="62">
        <v>46193</v>
      </c>
      <c r="I64" s="62">
        <f t="shared" si="4"/>
        <v>46200</v>
      </c>
      <c r="J64" s="18">
        <f t="shared" si="5"/>
        <v>46260</v>
      </c>
      <c r="K64" s="63"/>
      <c r="L64" s="63"/>
      <c r="M64" s="63"/>
      <c r="N64" s="64"/>
      <c r="O64" s="64"/>
      <c r="P64" s="63"/>
      <c r="Q64" s="63"/>
      <c r="R64" s="63"/>
      <c r="S64" s="84" t="str">
        <f t="shared" si="12"/>
        <v>August</v>
      </c>
      <c r="T64" s="25" t="str">
        <f t="shared" ca="1" si="10"/>
        <v>12DAYS LEFT</v>
      </c>
      <c r="U64" s="86" t="str">
        <f t="shared" ca="1" si="13"/>
        <v>CUSTOMS CLEARANCE / PORT</v>
      </c>
    </row>
    <row r="65" spans="2:21" s="58" customFormat="1" x14ac:dyDescent="0.45">
      <c r="B65" s="59" t="s">
        <v>98</v>
      </c>
      <c r="C65" s="60"/>
      <c r="D65" s="61" t="s">
        <v>103</v>
      </c>
      <c r="E65" s="61" t="s">
        <v>76</v>
      </c>
      <c r="F65" s="61"/>
      <c r="G65" s="61"/>
      <c r="H65" s="62">
        <v>46193</v>
      </c>
      <c r="I65" s="62">
        <f t="shared" si="4"/>
        <v>46200</v>
      </c>
      <c r="J65" s="18">
        <f t="shared" si="5"/>
        <v>46260</v>
      </c>
      <c r="K65" s="63"/>
      <c r="L65" s="63"/>
      <c r="M65" s="63"/>
      <c r="N65" s="64"/>
      <c r="O65" s="64"/>
      <c r="P65" s="63"/>
      <c r="Q65" s="63"/>
      <c r="R65" s="63"/>
      <c r="S65" s="84" t="str">
        <f t="shared" si="12"/>
        <v>August</v>
      </c>
      <c r="T65" s="25" t="str">
        <f t="shared" ca="1" si="10"/>
        <v>12DAYS LEFT</v>
      </c>
      <c r="U65" s="86" t="str">
        <f t="shared" ca="1" si="13"/>
        <v>CUSTOMS CLEARANCE / PORT</v>
      </c>
    </row>
    <row r="66" spans="2:21" s="58" customFormat="1" x14ac:dyDescent="0.45">
      <c r="B66" s="59" t="s">
        <v>98</v>
      </c>
      <c r="C66" s="60">
        <v>8468369869413</v>
      </c>
      <c r="D66" s="61"/>
      <c r="E66" s="61" t="s">
        <v>76</v>
      </c>
      <c r="F66" s="61"/>
      <c r="G66" s="61"/>
      <c r="H66" s="62">
        <v>46193</v>
      </c>
      <c r="I66" s="62">
        <f t="shared" si="4"/>
        <v>46200</v>
      </c>
      <c r="J66" s="18">
        <f t="shared" si="5"/>
        <v>46260</v>
      </c>
      <c r="K66" s="63"/>
      <c r="L66" s="63"/>
      <c r="M66" s="63"/>
      <c r="N66" s="64"/>
      <c r="O66" s="64"/>
      <c r="P66" s="63"/>
      <c r="Q66" s="63"/>
      <c r="R66" s="63"/>
      <c r="S66" s="84" t="str">
        <f t="shared" si="12"/>
        <v>August</v>
      </c>
      <c r="T66" s="25" t="str">
        <f t="shared" ca="1" si="10"/>
        <v>12DAYS LEFT</v>
      </c>
      <c r="U66" s="86" t="str">
        <f t="shared" ca="1" si="13"/>
        <v>CUSTOMS CLEARANCE / PORT</v>
      </c>
    </row>
    <row r="67" spans="2:21" s="58" customFormat="1" x14ac:dyDescent="0.45">
      <c r="B67" s="121" t="s">
        <v>104</v>
      </c>
      <c r="C67" s="60"/>
      <c r="D67" s="61" t="s">
        <v>105</v>
      </c>
      <c r="E67" s="61" t="s">
        <v>76</v>
      </c>
      <c r="F67" s="61"/>
      <c r="G67" s="61"/>
      <c r="H67" s="62">
        <v>46193</v>
      </c>
      <c r="I67" s="62">
        <f t="shared" si="4"/>
        <v>46200</v>
      </c>
      <c r="J67" s="18">
        <f t="shared" ref="J67:J95" si="14">I67+60</f>
        <v>46260</v>
      </c>
      <c r="K67" s="63"/>
      <c r="L67" s="63"/>
      <c r="M67" s="63"/>
      <c r="N67" s="64"/>
      <c r="O67" s="64"/>
      <c r="P67" s="63"/>
      <c r="Q67" s="63"/>
      <c r="R67" s="63"/>
      <c r="S67" s="84" t="str">
        <f t="shared" si="12"/>
        <v>August</v>
      </c>
      <c r="T67" s="25" t="str">
        <f t="shared" ca="1" si="10"/>
        <v>12DAYS LEFT</v>
      </c>
      <c r="U67" s="86" t="str">
        <f t="shared" ca="1" si="13"/>
        <v>CUSTOMS CLEARANCE / PORT</v>
      </c>
    </row>
    <row r="68" spans="2:21" s="58" customFormat="1" x14ac:dyDescent="0.45">
      <c r="B68" s="121" t="s">
        <v>106</v>
      </c>
      <c r="C68" s="60"/>
      <c r="D68" s="61" t="s">
        <v>105</v>
      </c>
      <c r="E68" s="61" t="s">
        <v>76</v>
      </c>
      <c r="F68" s="61"/>
      <c r="G68" s="61"/>
      <c r="H68" s="62">
        <v>46193</v>
      </c>
      <c r="I68" s="62">
        <f t="shared" ref="I68:I102" si="15">H68+7+MOD(7-WEEKDAY(H68+7),7)</f>
        <v>46200</v>
      </c>
      <c r="J68" s="18">
        <f t="shared" si="14"/>
        <v>46260</v>
      </c>
      <c r="K68" s="63"/>
      <c r="L68" s="63"/>
      <c r="M68" s="63"/>
      <c r="N68" s="64"/>
      <c r="O68" s="64"/>
      <c r="P68" s="63"/>
      <c r="Q68" s="63"/>
      <c r="R68" s="63"/>
      <c r="S68" s="84" t="str">
        <f t="shared" si="12"/>
        <v>August</v>
      </c>
      <c r="T68" s="25" t="str">
        <f t="shared" ca="1" si="10"/>
        <v>12DAYS LEFT</v>
      </c>
      <c r="U68" s="86" t="str">
        <f t="shared" ca="1" si="13"/>
        <v>CUSTOMS CLEARANCE / PORT</v>
      </c>
    </row>
    <row r="69" spans="2:21" s="58" customFormat="1" x14ac:dyDescent="0.45">
      <c r="B69" s="130" t="s">
        <v>107</v>
      </c>
      <c r="C69" s="60">
        <v>73713858925300</v>
      </c>
      <c r="D69" s="61"/>
      <c r="E69" s="61" t="s">
        <v>74</v>
      </c>
      <c r="F69" s="61"/>
      <c r="G69" s="61"/>
      <c r="H69" s="62">
        <v>46193</v>
      </c>
      <c r="I69" s="62">
        <f t="shared" si="15"/>
        <v>46200</v>
      </c>
      <c r="J69" s="18">
        <f t="shared" si="14"/>
        <v>46260</v>
      </c>
      <c r="K69" s="63"/>
      <c r="L69" s="63"/>
      <c r="M69" s="63"/>
      <c r="N69" s="64"/>
      <c r="O69" s="64"/>
      <c r="P69" s="63"/>
      <c r="Q69" s="63"/>
      <c r="R69" s="63"/>
      <c r="S69" s="84" t="str">
        <f t="shared" si="12"/>
        <v>August</v>
      </c>
      <c r="T69" s="25" t="str">
        <f t="shared" ca="1" si="10"/>
        <v>12DAYS LEFT</v>
      </c>
      <c r="U69" s="86" t="str">
        <f t="shared" ca="1" si="13"/>
        <v>CUSTOMS CLEARANCE / PORT</v>
      </c>
    </row>
    <row r="70" spans="2:21" s="58" customFormat="1" x14ac:dyDescent="0.45">
      <c r="B70" s="59" t="s">
        <v>42</v>
      </c>
      <c r="C70" s="60">
        <v>79012965360638</v>
      </c>
      <c r="D70" s="61"/>
      <c r="E70" s="61" t="s">
        <v>74</v>
      </c>
      <c r="F70" s="61"/>
      <c r="G70" s="61"/>
      <c r="H70" s="62">
        <v>46193</v>
      </c>
      <c r="I70" s="62">
        <f t="shared" si="15"/>
        <v>46200</v>
      </c>
      <c r="J70" s="18">
        <f t="shared" si="14"/>
        <v>46260</v>
      </c>
      <c r="K70" s="63"/>
      <c r="L70" s="63"/>
      <c r="M70" s="63"/>
      <c r="N70" s="64"/>
      <c r="O70" s="64"/>
      <c r="P70" s="63"/>
      <c r="Q70" s="63"/>
      <c r="R70" s="63"/>
      <c r="S70" s="84" t="str">
        <f t="shared" si="12"/>
        <v>August</v>
      </c>
      <c r="T70" s="25" t="str">
        <f t="shared" ca="1" si="10"/>
        <v>12DAYS LEFT</v>
      </c>
      <c r="U70" s="86" t="str">
        <f t="shared" ca="1" si="13"/>
        <v>CUSTOMS CLEARANCE / PORT</v>
      </c>
    </row>
    <row r="71" spans="2:21" s="58" customFormat="1" x14ac:dyDescent="0.45">
      <c r="B71" s="59" t="s">
        <v>42</v>
      </c>
      <c r="C71" s="60" t="s">
        <v>108</v>
      </c>
      <c r="D71" s="61"/>
      <c r="E71" s="61" t="s">
        <v>76</v>
      </c>
      <c r="F71" s="61"/>
      <c r="G71" s="61"/>
      <c r="H71" s="62">
        <v>46193</v>
      </c>
      <c r="I71" s="62">
        <f t="shared" si="15"/>
        <v>46200</v>
      </c>
      <c r="J71" s="18">
        <f t="shared" si="14"/>
        <v>46260</v>
      </c>
      <c r="K71" s="63"/>
      <c r="L71" s="63"/>
      <c r="M71" s="63"/>
      <c r="N71" s="64"/>
      <c r="O71" s="64"/>
      <c r="P71" s="63"/>
      <c r="Q71" s="63"/>
      <c r="R71" s="63"/>
      <c r="S71" s="84" t="str">
        <f t="shared" si="12"/>
        <v>August</v>
      </c>
      <c r="T71" s="25" t="str">
        <f t="shared" ca="1" si="10"/>
        <v>12DAYS LEFT</v>
      </c>
      <c r="U71" s="86" t="str">
        <f t="shared" ca="1" si="13"/>
        <v>CUSTOMS CLEARANCE / PORT</v>
      </c>
    </row>
    <row r="72" spans="2:21" s="58" customFormat="1" x14ac:dyDescent="0.45">
      <c r="B72" s="59" t="s">
        <v>42</v>
      </c>
      <c r="C72" s="60" t="s">
        <v>109</v>
      </c>
      <c r="D72" s="61"/>
      <c r="E72" s="61" t="s">
        <v>76</v>
      </c>
      <c r="F72" s="61"/>
      <c r="G72" s="61"/>
      <c r="H72" s="62">
        <v>46193</v>
      </c>
      <c r="I72" s="62">
        <f t="shared" si="15"/>
        <v>46200</v>
      </c>
      <c r="J72" s="18">
        <f t="shared" si="14"/>
        <v>46260</v>
      </c>
      <c r="K72" s="63"/>
      <c r="L72" s="63"/>
      <c r="M72" s="63"/>
      <c r="N72" s="64"/>
      <c r="O72" s="64"/>
      <c r="P72" s="63"/>
      <c r="Q72" s="63"/>
      <c r="R72" s="63"/>
      <c r="S72" s="84" t="str">
        <f t="shared" si="12"/>
        <v>August</v>
      </c>
      <c r="T72" s="25" t="str">
        <f t="shared" ca="1" si="10"/>
        <v>12DAYS LEFT</v>
      </c>
      <c r="U72" s="86" t="str">
        <f t="shared" ca="1" si="13"/>
        <v>CUSTOMS CLEARANCE / PORT</v>
      </c>
    </row>
    <row r="73" spans="2:21" s="58" customFormat="1" x14ac:dyDescent="0.45">
      <c r="B73" s="59" t="s">
        <v>42</v>
      </c>
      <c r="C73" s="60">
        <v>79012986844413</v>
      </c>
      <c r="D73" s="61"/>
      <c r="E73" s="61" t="s">
        <v>75</v>
      </c>
      <c r="F73" s="61"/>
      <c r="G73" s="61"/>
      <c r="H73" s="62">
        <v>46193</v>
      </c>
      <c r="I73" s="62">
        <f t="shared" si="15"/>
        <v>46200</v>
      </c>
      <c r="J73" s="18">
        <f t="shared" si="14"/>
        <v>46260</v>
      </c>
      <c r="K73" s="63"/>
      <c r="L73" s="63"/>
      <c r="M73" s="63"/>
      <c r="N73" s="64"/>
      <c r="O73" s="64"/>
      <c r="P73" s="63"/>
      <c r="Q73" s="63"/>
      <c r="R73" s="63"/>
      <c r="S73" s="84" t="str">
        <f t="shared" si="12"/>
        <v>August</v>
      </c>
      <c r="T73" s="25" t="str">
        <f t="shared" ca="1" si="10"/>
        <v>12DAYS LEFT</v>
      </c>
      <c r="U73" s="86" t="str">
        <f t="shared" ca="1" si="13"/>
        <v>CUSTOMS CLEARANCE / PORT</v>
      </c>
    </row>
    <row r="74" spans="2:21" s="58" customFormat="1" x14ac:dyDescent="0.45">
      <c r="B74" s="59" t="s">
        <v>42</v>
      </c>
      <c r="C74" s="60">
        <v>79013041339193</v>
      </c>
      <c r="D74" s="61"/>
      <c r="E74" s="61" t="s">
        <v>76</v>
      </c>
      <c r="F74" s="61"/>
      <c r="G74" s="61"/>
      <c r="H74" s="62">
        <v>46193</v>
      </c>
      <c r="I74" s="62">
        <f t="shared" si="15"/>
        <v>46200</v>
      </c>
      <c r="J74" s="18">
        <f t="shared" si="14"/>
        <v>46260</v>
      </c>
      <c r="K74" s="63"/>
      <c r="L74" s="63"/>
      <c r="M74" s="63"/>
      <c r="N74" s="64"/>
      <c r="O74" s="64"/>
      <c r="P74" s="63"/>
      <c r="Q74" s="63"/>
      <c r="R74" s="63"/>
      <c r="S74" s="84" t="str">
        <f t="shared" si="12"/>
        <v>August</v>
      </c>
      <c r="T74" s="25" t="str">
        <f t="shared" ca="1" si="10"/>
        <v>12DAYS LEFT</v>
      </c>
      <c r="U74" s="86" t="str">
        <f t="shared" ca="1" si="13"/>
        <v>CUSTOMS CLEARANCE / PORT</v>
      </c>
    </row>
    <row r="75" spans="2:21" s="58" customFormat="1" x14ac:dyDescent="0.45">
      <c r="B75" s="59" t="s">
        <v>42</v>
      </c>
      <c r="C75" s="60">
        <v>79012966879873</v>
      </c>
      <c r="D75" s="61"/>
      <c r="E75" s="61" t="s">
        <v>76</v>
      </c>
      <c r="F75" s="61"/>
      <c r="G75" s="61"/>
      <c r="H75" s="88">
        <v>46193</v>
      </c>
      <c r="I75" s="62">
        <f t="shared" si="15"/>
        <v>46200</v>
      </c>
      <c r="J75" s="18">
        <f t="shared" si="14"/>
        <v>46260</v>
      </c>
      <c r="K75" s="63"/>
      <c r="L75" s="63"/>
      <c r="M75" s="63"/>
      <c r="N75" s="64"/>
      <c r="O75" s="64"/>
      <c r="P75" s="63"/>
      <c r="Q75" s="63"/>
      <c r="R75" s="63"/>
      <c r="S75" s="84" t="str">
        <f t="shared" si="12"/>
        <v>August</v>
      </c>
      <c r="T75" s="25" t="str">
        <f t="shared" ca="1" si="10"/>
        <v>12DAYS LEFT</v>
      </c>
      <c r="U75" s="86" t="str">
        <f t="shared" ca="1" si="13"/>
        <v>CUSTOMS CLEARANCE / PORT</v>
      </c>
    </row>
    <row r="76" spans="2:21" s="65" customFormat="1" x14ac:dyDescent="0.45">
      <c r="B76" s="66" t="s">
        <v>110</v>
      </c>
      <c r="C76" s="67">
        <v>79013170028718</v>
      </c>
      <c r="D76" s="68"/>
      <c r="E76" s="68" t="s">
        <v>76</v>
      </c>
      <c r="F76" s="68"/>
      <c r="G76" s="68"/>
      <c r="H76" s="69">
        <v>46195</v>
      </c>
      <c r="I76" s="69">
        <f t="shared" si="15"/>
        <v>46207</v>
      </c>
      <c r="J76" s="18">
        <f t="shared" si="14"/>
        <v>46267</v>
      </c>
      <c r="K76" s="70"/>
      <c r="L76" s="70"/>
      <c r="M76" s="70"/>
      <c r="N76" s="71"/>
      <c r="O76" s="71"/>
      <c r="P76" s="70"/>
      <c r="Q76" s="70"/>
      <c r="R76" s="70"/>
      <c r="S76" s="84" t="str">
        <f t="shared" si="12"/>
        <v>September</v>
      </c>
      <c r="T76" s="25" t="str">
        <f t="shared" ca="1" si="10"/>
        <v>19DAYS LEFT</v>
      </c>
      <c r="U76" s="86" t="str">
        <f t="shared" ca="1" si="13"/>
        <v>SEA TRANSIT</v>
      </c>
    </row>
    <row r="77" spans="2:21" s="65" customFormat="1" x14ac:dyDescent="0.45">
      <c r="B77" s="66" t="s">
        <v>110</v>
      </c>
      <c r="C77" s="67">
        <v>79013198178549</v>
      </c>
      <c r="D77" s="68"/>
      <c r="E77" s="68" t="s">
        <v>76</v>
      </c>
      <c r="F77" s="68"/>
      <c r="G77" s="68"/>
      <c r="H77" s="69">
        <v>46195</v>
      </c>
      <c r="I77" s="69">
        <f t="shared" si="15"/>
        <v>46207</v>
      </c>
      <c r="J77" s="18">
        <f t="shared" si="14"/>
        <v>46267</v>
      </c>
      <c r="K77" s="70"/>
      <c r="L77" s="70"/>
      <c r="M77" s="70"/>
      <c r="N77" s="71"/>
      <c r="O77" s="71"/>
      <c r="P77" s="70"/>
      <c r="Q77" s="70"/>
      <c r="R77" s="70"/>
      <c r="S77" s="84" t="str">
        <f t="shared" si="12"/>
        <v>September</v>
      </c>
      <c r="T77" s="25" t="str">
        <f t="shared" ca="1" si="10"/>
        <v>19DAYS LEFT</v>
      </c>
      <c r="U77" s="86" t="str">
        <f t="shared" ca="1" si="13"/>
        <v>SEA TRANSIT</v>
      </c>
    </row>
    <row r="78" spans="2:21" s="65" customFormat="1" x14ac:dyDescent="0.45">
      <c r="B78" s="66" t="s">
        <v>110</v>
      </c>
      <c r="C78" s="67">
        <v>773427612127858</v>
      </c>
      <c r="D78" s="68"/>
      <c r="E78" s="68" t="s">
        <v>76</v>
      </c>
      <c r="F78" s="68"/>
      <c r="G78" s="68"/>
      <c r="H78" s="69">
        <v>46195</v>
      </c>
      <c r="I78" s="69">
        <f t="shared" si="15"/>
        <v>46207</v>
      </c>
      <c r="J78" s="18">
        <f t="shared" si="14"/>
        <v>46267</v>
      </c>
      <c r="K78" s="70"/>
      <c r="L78" s="70"/>
      <c r="M78" s="70"/>
      <c r="N78" s="71"/>
      <c r="O78" s="71"/>
      <c r="P78" s="70"/>
      <c r="Q78" s="70"/>
      <c r="R78" s="70"/>
      <c r="S78" s="84" t="str">
        <f t="shared" si="12"/>
        <v>September</v>
      </c>
      <c r="T78" s="25" t="str">
        <f t="shared" ca="1" si="10"/>
        <v>19DAYS LEFT</v>
      </c>
      <c r="U78" s="86" t="str">
        <f t="shared" ca="1" si="13"/>
        <v>SEA TRANSIT</v>
      </c>
    </row>
    <row r="79" spans="2:21" s="65" customFormat="1" x14ac:dyDescent="0.45">
      <c r="B79" s="66" t="s">
        <v>110</v>
      </c>
      <c r="C79" s="67">
        <v>908006839449001</v>
      </c>
      <c r="D79" s="68"/>
      <c r="E79" s="68" t="s">
        <v>76</v>
      </c>
      <c r="F79" s="68"/>
      <c r="G79" s="68"/>
      <c r="H79" s="69">
        <v>46195</v>
      </c>
      <c r="I79" s="69">
        <f t="shared" si="15"/>
        <v>46207</v>
      </c>
      <c r="J79" s="18">
        <f t="shared" si="14"/>
        <v>46267</v>
      </c>
      <c r="K79" s="70"/>
      <c r="L79" s="70"/>
      <c r="M79" s="70"/>
      <c r="N79" s="71"/>
      <c r="O79" s="71"/>
      <c r="P79" s="70"/>
      <c r="Q79" s="70"/>
      <c r="R79" s="70"/>
      <c r="S79" s="84" t="str">
        <f t="shared" si="12"/>
        <v>September</v>
      </c>
      <c r="T79" s="25" t="str">
        <f t="shared" ca="1" si="10"/>
        <v>19DAYS LEFT</v>
      </c>
      <c r="U79" s="86" t="str">
        <f t="shared" ca="1" si="13"/>
        <v>SEA TRANSIT</v>
      </c>
    </row>
    <row r="80" spans="2:21" s="89" customFormat="1" x14ac:dyDescent="0.45">
      <c r="B80" s="90" t="s">
        <v>42</v>
      </c>
      <c r="C80" s="91" t="s">
        <v>111</v>
      </c>
      <c r="D80" s="92"/>
      <c r="E80" s="92" t="s">
        <v>76</v>
      </c>
      <c r="F80" s="92"/>
      <c r="G80" s="92"/>
      <c r="H80" s="93">
        <v>46195</v>
      </c>
      <c r="I80" s="93">
        <f t="shared" si="15"/>
        <v>46207</v>
      </c>
      <c r="J80" s="18">
        <f t="shared" si="14"/>
        <v>46267</v>
      </c>
      <c r="K80" s="94"/>
      <c r="L80" s="94"/>
      <c r="M80" s="94"/>
      <c r="N80" s="95"/>
      <c r="O80" s="95"/>
      <c r="P80" s="94"/>
      <c r="Q80" s="94"/>
      <c r="R80" s="94"/>
      <c r="S80" s="84" t="str">
        <f t="shared" si="12"/>
        <v>September</v>
      </c>
      <c r="T80" s="25" t="str">
        <f t="shared" ca="1" si="10"/>
        <v>19DAYS LEFT</v>
      </c>
      <c r="U80" s="86" t="str">
        <f t="shared" ca="1" si="13"/>
        <v>SEA TRANSIT</v>
      </c>
    </row>
    <row r="81" spans="2:21" s="89" customFormat="1" x14ac:dyDescent="0.45">
      <c r="B81" s="90" t="s">
        <v>42</v>
      </c>
      <c r="C81" s="91" t="s">
        <v>109</v>
      </c>
      <c r="D81" s="92"/>
      <c r="E81" s="92" t="s">
        <v>76</v>
      </c>
      <c r="F81" s="92"/>
      <c r="G81" s="92"/>
      <c r="H81" s="93">
        <v>46195</v>
      </c>
      <c r="I81" s="93">
        <f t="shared" si="15"/>
        <v>46207</v>
      </c>
      <c r="J81" s="18">
        <f t="shared" si="14"/>
        <v>46267</v>
      </c>
      <c r="K81" s="94"/>
      <c r="L81" s="94"/>
      <c r="M81" s="94"/>
      <c r="N81" s="95"/>
      <c r="O81" s="95"/>
      <c r="P81" s="94"/>
      <c r="Q81" s="94"/>
      <c r="R81" s="94"/>
      <c r="S81" s="84" t="str">
        <f t="shared" si="12"/>
        <v>September</v>
      </c>
      <c r="T81" s="25" t="str">
        <f t="shared" ca="1" si="10"/>
        <v>19DAYS LEFT</v>
      </c>
      <c r="U81" s="86" t="str">
        <f t="shared" ca="1" si="13"/>
        <v>SEA TRANSIT</v>
      </c>
    </row>
    <row r="82" spans="2:21" s="89" customFormat="1" x14ac:dyDescent="0.45">
      <c r="B82" s="90" t="s">
        <v>110</v>
      </c>
      <c r="C82" s="91">
        <v>500258678390</v>
      </c>
      <c r="D82" s="92"/>
      <c r="E82" s="92" t="s">
        <v>76</v>
      </c>
      <c r="F82" s="92"/>
      <c r="G82" s="92"/>
      <c r="H82" s="93">
        <v>46195</v>
      </c>
      <c r="I82" s="93">
        <f t="shared" si="15"/>
        <v>46207</v>
      </c>
      <c r="J82" s="18">
        <f t="shared" si="14"/>
        <v>46267</v>
      </c>
      <c r="K82" s="94"/>
      <c r="L82" s="94"/>
      <c r="M82" s="94"/>
      <c r="N82" s="95"/>
      <c r="O82" s="95"/>
      <c r="P82" s="94"/>
      <c r="Q82" s="94"/>
      <c r="R82" s="94"/>
      <c r="S82" s="84" t="str">
        <f t="shared" si="12"/>
        <v>September</v>
      </c>
      <c r="T82" s="25" t="str">
        <f t="shared" ca="1" si="10"/>
        <v>19DAYS LEFT</v>
      </c>
      <c r="U82" s="86" t="str">
        <f t="shared" ca="1" si="13"/>
        <v>SEA TRANSIT</v>
      </c>
    </row>
    <row r="83" spans="2:21" s="89" customFormat="1" x14ac:dyDescent="0.45">
      <c r="B83" s="90" t="s">
        <v>110</v>
      </c>
      <c r="C83" s="91">
        <v>7901321733231</v>
      </c>
      <c r="D83" s="92"/>
      <c r="E83" s="92" t="s">
        <v>76</v>
      </c>
      <c r="F83" s="92"/>
      <c r="G83" s="92"/>
      <c r="H83" s="93">
        <v>46195</v>
      </c>
      <c r="I83" s="93">
        <f t="shared" si="15"/>
        <v>46207</v>
      </c>
      <c r="J83" s="18">
        <f t="shared" si="14"/>
        <v>46267</v>
      </c>
      <c r="K83" s="94"/>
      <c r="L83" s="94"/>
      <c r="M83" s="94"/>
      <c r="N83" s="95"/>
      <c r="O83" s="95"/>
      <c r="P83" s="94"/>
      <c r="Q83" s="94"/>
      <c r="R83" s="94"/>
      <c r="S83" s="84" t="str">
        <f t="shared" si="12"/>
        <v>September</v>
      </c>
      <c r="T83" s="25" t="str">
        <f t="shared" ca="1" si="10"/>
        <v>19DAYS LEFT</v>
      </c>
      <c r="U83" s="86" t="str">
        <f t="shared" ca="1" si="13"/>
        <v>SEA TRANSIT</v>
      </c>
    </row>
    <row r="84" spans="2:21" s="89" customFormat="1" x14ac:dyDescent="0.45">
      <c r="B84" s="90" t="s">
        <v>110</v>
      </c>
      <c r="C84" s="91">
        <v>79013205167591</v>
      </c>
      <c r="D84" s="92"/>
      <c r="E84" s="92" t="s">
        <v>76</v>
      </c>
      <c r="F84" s="92"/>
      <c r="G84" s="92"/>
      <c r="H84" s="93">
        <v>46195</v>
      </c>
      <c r="I84" s="93">
        <f t="shared" si="15"/>
        <v>46207</v>
      </c>
      <c r="J84" s="18">
        <f t="shared" si="14"/>
        <v>46267</v>
      </c>
      <c r="K84" s="94"/>
      <c r="L84" s="94"/>
      <c r="M84" s="94"/>
      <c r="N84" s="95"/>
      <c r="O84" s="95"/>
      <c r="P84" s="94"/>
      <c r="Q84" s="94"/>
      <c r="R84" s="94"/>
      <c r="S84" s="84" t="str">
        <f t="shared" si="12"/>
        <v>September</v>
      </c>
      <c r="T84" s="25" t="str">
        <f t="shared" ca="1" si="10"/>
        <v>19DAYS LEFT</v>
      </c>
      <c r="U84" s="86" t="str">
        <f t="shared" ca="1" si="13"/>
        <v>SEA TRANSIT</v>
      </c>
    </row>
    <row r="85" spans="2:21" s="89" customFormat="1" x14ac:dyDescent="0.45">
      <c r="B85" s="90" t="s">
        <v>42</v>
      </c>
      <c r="C85" s="91">
        <v>773427516286687</v>
      </c>
      <c r="D85" s="92"/>
      <c r="E85" s="92" t="s">
        <v>76</v>
      </c>
      <c r="F85" s="92"/>
      <c r="G85" s="92"/>
      <c r="H85" s="93">
        <v>46195</v>
      </c>
      <c r="I85" s="93">
        <f t="shared" si="15"/>
        <v>46207</v>
      </c>
      <c r="J85" s="18">
        <f t="shared" si="14"/>
        <v>46267</v>
      </c>
      <c r="K85" s="94"/>
      <c r="L85" s="94"/>
      <c r="M85" s="94"/>
      <c r="N85" s="95"/>
      <c r="O85" s="95"/>
      <c r="P85" s="94"/>
      <c r="Q85" s="94"/>
      <c r="R85" s="94"/>
      <c r="S85" s="84" t="str">
        <f t="shared" si="12"/>
        <v>September</v>
      </c>
      <c r="T85" s="25" t="str">
        <f t="shared" ref="T85:T95" ca="1" si="16">IF(J85&lt;TODAY(),"ARRIVED",IF(J85-TODAY()&lt;=7,"ARRIVING SOON",J85-TODAY()&amp;"DAYS LEFT"))</f>
        <v>19DAYS LEFT</v>
      </c>
      <c r="U85" s="86" t="str">
        <f t="shared" ca="1" si="13"/>
        <v>SEA TRANSIT</v>
      </c>
    </row>
    <row r="86" spans="2:21" s="89" customFormat="1" x14ac:dyDescent="0.45">
      <c r="B86" s="90" t="s">
        <v>42</v>
      </c>
      <c r="C86" s="91">
        <v>9822582380515</v>
      </c>
      <c r="D86" s="92"/>
      <c r="E86" s="92" t="s">
        <v>76</v>
      </c>
      <c r="F86" s="92"/>
      <c r="G86" s="92"/>
      <c r="H86" s="93">
        <v>46195</v>
      </c>
      <c r="I86" s="93">
        <f t="shared" si="15"/>
        <v>46207</v>
      </c>
      <c r="J86" s="18">
        <f t="shared" si="14"/>
        <v>46267</v>
      </c>
      <c r="K86" s="94"/>
      <c r="L86" s="94"/>
      <c r="M86" s="94"/>
      <c r="N86" s="95"/>
      <c r="O86" s="95"/>
      <c r="P86" s="94"/>
      <c r="Q86" s="94"/>
      <c r="R86" s="94"/>
      <c r="S86" s="84" t="str">
        <f t="shared" si="12"/>
        <v>September</v>
      </c>
      <c r="T86" s="25" t="str">
        <f t="shared" ca="1" si="16"/>
        <v>19DAYS LEFT</v>
      </c>
      <c r="U86" s="86" t="str">
        <f t="shared" ca="1" si="13"/>
        <v>SEA TRANSIT</v>
      </c>
    </row>
    <row r="87" spans="2:21" s="89" customFormat="1" x14ac:dyDescent="0.45">
      <c r="B87" s="90" t="s">
        <v>42</v>
      </c>
      <c r="C87" s="91">
        <v>773427505787848</v>
      </c>
      <c r="D87" s="92"/>
      <c r="E87" s="92" t="s">
        <v>76</v>
      </c>
      <c r="F87" s="92"/>
      <c r="G87" s="92"/>
      <c r="H87" s="93">
        <v>46195</v>
      </c>
      <c r="I87" s="93">
        <f t="shared" si="15"/>
        <v>46207</v>
      </c>
      <c r="J87" s="18">
        <f t="shared" si="14"/>
        <v>46267</v>
      </c>
      <c r="K87" s="94"/>
      <c r="L87" s="94"/>
      <c r="M87" s="94"/>
      <c r="N87" s="95"/>
      <c r="O87" s="95"/>
      <c r="P87" s="94"/>
      <c r="Q87" s="94"/>
      <c r="R87" s="94"/>
      <c r="S87" s="84" t="str">
        <f t="shared" si="12"/>
        <v>September</v>
      </c>
      <c r="T87" s="25" t="str">
        <f t="shared" ca="1" si="16"/>
        <v>19DAYS LEFT</v>
      </c>
      <c r="U87" s="86" t="str">
        <f t="shared" ca="1" si="13"/>
        <v>SEA TRANSIT</v>
      </c>
    </row>
    <row r="88" spans="2:21" s="89" customFormat="1" x14ac:dyDescent="0.45">
      <c r="B88" s="90" t="s">
        <v>98</v>
      </c>
      <c r="C88" s="91">
        <v>773426811828714</v>
      </c>
      <c r="D88" s="92"/>
      <c r="E88" s="92" t="s">
        <v>76</v>
      </c>
      <c r="F88" s="92"/>
      <c r="G88" s="92"/>
      <c r="H88" s="93">
        <v>46195</v>
      </c>
      <c r="I88" s="93">
        <f t="shared" si="15"/>
        <v>46207</v>
      </c>
      <c r="J88" s="18">
        <f t="shared" si="14"/>
        <v>46267</v>
      </c>
      <c r="K88" s="94"/>
      <c r="L88" s="94"/>
      <c r="M88" s="94"/>
      <c r="N88" s="95"/>
      <c r="O88" s="95"/>
      <c r="P88" s="94"/>
      <c r="Q88" s="94"/>
      <c r="R88" s="94"/>
      <c r="S88" s="84" t="str">
        <f t="shared" si="12"/>
        <v>September</v>
      </c>
      <c r="T88" s="25" t="str">
        <f t="shared" ca="1" si="16"/>
        <v>19DAYS LEFT</v>
      </c>
      <c r="U88" s="86" t="str">
        <f t="shared" ca="1" si="13"/>
        <v>SEA TRANSIT</v>
      </c>
    </row>
    <row r="89" spans="2:21" s="89" customFormat="1" x14ac:dyDescent="0.45">
      <c r="B89" s="90" t="s">
        <v>42</v>
      </c>
      <c r="C89" s="91">
        <v>9822582331480</v>
      </c>
      <c r="D89" s="92"/>
      <c r="E89" s="92" t="s">
        <v>76</v>
      </c>
      <c r="F89" s="92"/>
      <c r="G89" s="92"/>
      <c r="H89" s="93">
        <v>46195</v>
      </c>
      <c r="I89" s="93">
        <f t="shared" si="15"/>
        <v>46207</v>
      </c>
      <c r="J89" s="18">
        <f t="shared" si="14"/>
        <v>46267</v>
      </c>
      <c r="K89" s="94"/>
      <c r="L89" s="94"/>
      <c r="M89" s="94"/>
      <c r="N89" s="95"/>
      <c r="O89" s="95"/>
      <c r="P89" s="94"/>
      <c r="Q89" s="94"/>
      <c r="R89" s="94"/>
      <c r="S89" s="84" t="str">
        <f t="shared" si="12"/>
        <v>September</v>
      </c>
      <c r="T89" s="25" t="str">
        <f t="shared" ca="1" si="16"/>
        <v>19DAYS LEFT</v>
      </c>
      <c r="U89" s="86" t="str">
        <f t="shared" ca="1" si="13"/>
        <v>SEA TRANSIT</v>
      </c>
    </row>
    <row r="90" spans="2:21" s="89" customFormat="1" x14ac:dyDescent="0.45">
      <c r="B90" s="90" t="s">
        <v>42</v>
      </c>
      <c r="C90" s="91">
        <v>79013198830940</v>
      </c>
      <c r="D90" s="92"/>
      <c r="E90" s="92" t="s">
        <v>76</v>
      </c>
      <c r="F90" s="92"/>
      <c r="G90" s="92"/>
      <c r="H90" s="93">
        <v>46195</v>
      </c>
      <c r="I90" s="93">
        <f t="shared" si="15"/>
        <v>46207</v>
      </c>
      <c r="J90" s="18">
        <f t="shared" si="14"/>
        <v>46267</v>
      </c>
      <c r="K90" s="94"/>
      <c r="L90" s="94"/>
      <c r="M90" s="94"/>
      <c r="N90" s="95"/>
      <c r="O90" s="95"/>
      <c r="P90" s="94"/>
      <c r="Q90" s="94"/>
      <c r="R90" s="94"/>
      <c r="S90" s="84" t="str">
        <f t="shared" si="12"/>
        <v>September</v>
      </c>
      <c r="T90" s="25" t="str">
        <f t="shared" ca="1" si="16"/>
        <v>19DAYS LEFT</v>
      </c>
      <c r="U90" s="86" t="str">
        <f t="shared" ca="1" si="13"/>
        <v>SEA TRANSIT</v>
      </c>
    </row>
    <row r="91" spans="2:21" s="89" customFormat="1" x14ac:dyDescent="0.45">
      <c r="B91" s="90" t="s">
        <v>42</v>
      </c>
      <c r="C91" s="91" t="s">
        <v>112</v>
      </c>
      <c r="D91" s="92"/>
      <c r="E91" s="92" t="s">
        <v>76</v>
      </c>
      <c r="F91" s="92"/>
      <c r="G91" s="92"/>
      <c r="H91" s="93">
        <v>46195</v>
      </c>
      <c r="I91" s="93">
        <f t="shared" si="15"/>
        <v>46207</v>
      </c>
      <c r="J91" s="18">
        <f t="shared" si="14"/>
        <v>46267</v>
      </c>
      <c r="K91" s="94"/>
      <c r="L91" s="94"/>
      <c r="M91" s="94"/>
      <c r="N91" s="95"/>
      <c r="O91" s="95"/>
      <c r="P91" s="94"/>
      <c r="Q91" s="94"/>
      <c r="R91" s="94"/>
      <c r="S91" s="84" t="str">
        <f t="shared" si="12"/>
        <v>September</v>
      </c>
      <c r="T91" s="25" t="str">
        <f t="shared" ca="1" si="16"/>
        <v>19DAYS LEFT</v>
      </c>
      <c r="U91" s="86" t="str">
        <f t="shared" ca="1" si="13"/>
        <v>SEA TRANSIT</v>
      </c>
    </row>
    <row r="92" spans="2:21" s="96" customFormat="1" x14ac:dyDescent="0.45">
      <c r="B92" s="97" t="s">
        <v>42</v>
      </c>
      <c r="C92" s="98">
        <v>79013514170261</v>
      </c>
      <c r="D92" s="99"/>
      <c r="E92" s="99" t="s">
        <v>76</v>
      </c>
      <c r="F92" s="99"/>
      <c r="G92" s="99"/>
      <c r="H92" s="100">
        <v>46196</v>
      </c>
      <c r="I92" s="100">
        <f t="shared" si="15"/>
        <v>46207</v>
      </c>
      <c r="J92" s="18">
        <f t="shared" si="14"/>
        <v>46267</v>
      </c>
      <c r="K92" s="101"/>
      <c r="L92" s="101"/>
      <c r="M92" s="101"/>
      <c r="N92" s="102"/>
      <c r="O92" s="102"/>
      <c r="P92" s="101"/>
      <c r="Q92" s="101"/>
      <c r="R92" s="101"/>
      <c r="S92" s="84" t="str">
        <f t="shared" si="12"/>
        <v>September</v>
      </c>
      <c r="T92" s="25" t="str">
        <f t="shared" ca="1" si="16"/>
        <v>19DAYS LEFT</v>
      </c>
      <c r="U92" s="86" t="str">
        <f t="shared" ca="1" si="13"/>
        <v>SEA TRANSIT</v>
      </c>
    </row>
    <row r="93" spans="2:21" s="96" customFormat="1" x14ac:dyDescent="0.45">
      <c r="B93" s="97" t="s">
        <v>42</v>
      </c>
      <c r="C93" s="98">
        <v>790133897720790</v>
      </c>
      <c r="D93" s="99"/>
      <c r="E93" s="99" t="s">
        <v>76</v>
      </c>
      <c r="F93" s="99"/>
      <c r="G93" s="99"/>
      <c r="H93" s="100">
        <v>46196</v>
      </c>
      <c r="I93" s="100">
        <f t="shared" si="15"/>
        <v>46207</v>
      </c>
      <c r="J93" s="18">
        <f t="shared" si="14"/>
        <v>46267</v>
      </c>
      <c r="K93" s="101"/>
      <c r="L93" s="101"/>
      <c r="M93" s="101"/>
      <c r="N93" s="102"/>
      <c r="O93" s="102"/>
      <c r="P93" s="101"/>
      <c r="Q93" s="101"/>
      <c r="R93" s="101"/>
      <c r="S93" s="84" t="str">
        <f t="shared" si="12"/>
        <v>September</v>
      </c>
      <c r="T93" s="25" t="str">
        <f t="shared" ca="1" si="16"/>
        <v>19DAYS LEFT</v>
      </c>
      <c r="U93" s="86" t="str">
        <f ca="1">IF(TODAY()&gt;J93+MOD(4-WEEKDAY(J93),7)," DELIVERED AT WAREHOUSE", IF(J93-TODAY()&gt;45, "ORIGIN (CHINA)", IF(J93-TODAY()&gt;15, "SEA TRANSIT", "CUSTOMS CLEARANCE / PORT")))</f>
        <v>SEA TRANSIT</v>
      </c>
    </row>
    <row r="94" spans="2:21" s="96" customFormat="1" x14ac:dyDescent="0.45">
      <c r="B94" s="121" t="s">
        <v>178</v>
      </c>
      <c r="C94" s="98"/>
      <c r="D94" s="99" t="s">
        <v>89</v>
      </c>
      <c r="E94" s="99" t="s">
        <v>76</v>
      </c>
      <c r="F94" s="99"/>
      <c r="G94" s="99"/>
      <c r="H94" s="100">
        <v>46196</v>
      </c>
      <c r="I94" s="100">
        <f t="shared" si="15"/>
        <v>46207</v>
      </c>
      <c r="J94" s="18">
        <f t="shared" si="14"/>
        <v>46267</v>
      </c>
      <c r="K94" s="101"/>
      <c r="L94" s="101"/>
      <c r="M94" s="101"/>
      <c r="N94" s="102"/>
      <c r="O94" s="102"/>
      <c r="P94" s="101"/>
      <c r="Q94" s="101"/>
      <c r="R94" s="101"/>
      <c r="S94" s="84" t="str">
        <f t="shared" si="12"/>
        <v>September</v>
      </c>
      <c r="T94" s="25" t="str">
        <f t="shared" ca="1" si="16"/>
        <v>19DAYS LEFT</v>
      </c>
      <c r="U94" s="86" t="str">
        <f t="shared" ca="1" si="13"/>
        <v>SEA TRANSIT</v>
      </c>
    </row>
    <row r="95" spans="2:21" s="96" customFormat="1" x14ac:dyDescent="0.45">
      <c r="B95" s="97" t="s">
        <v>98</v>
      </c>
      <c r="C95" s="98">
        <v>79013832665302</v>
      </c>
      <c r="D95" s="99"/>
      <c r="E95" s="99" t="s">
        <v>76</v>
      </c>
      <c r="F95" s="99"/>
      <c r="G95" s="99"/>
      <c r="H95" s="100">
        <v>46196</v>
      </c>
      <c r="I95" s="100">
        <f t="shared" si="15"/>
        <v>46207</v>
      </c>
      <c r="J95" s="18">
        <f t="shared" si="14"/>
        <v>46267</v>
      </c>
      <c r="K95" s="101"/>
      <c r="L95" s="101"/>
      <c r="M95" s="101"/>
      <c r="N95" s="102"/>
      <c r="O95" s="102"/>
      <c r="P95" s="101"/>
      <c r="Q95" s="101"/>
      <c r="R95" s="101"/>
      <c r="S95" s="84" t="str">
        <f t="shared" si="12"/>
        <v>September</v>
      </c>
      <c r="T95" s="25" t="str">
        <f t="shared" ca="1" si="16"/>
        <v>19DAYS LEFT</v>
      </c>
      <c r="U95" s="86" t="str">
        <f t="shared" ca="1" si="13"/>
        <v>SEA TRANSIT</v>
      </c>
    </row>
    <row r="96" spans="2:21" s="96" customFormat="1" x14ac:dyDescent="0.45">
      <c r="B96" s="97" t="s">
        <v>113</v>
      </c>
      <c r="C96" s="98">
        <v>79115095941778</v>
      </c>
      <c r="D96" s="99" t="s">
        <v>114</v>
      </c>
      <c r="E96" s="99" t="s">
        <v>76</v>
      </c>
      <c r="F96" s="99"/>
      <c r="G96" s="99"/>
      <c r="H96" s="100">
        <v>46196</v>
      </c>
      <c r="I96" s="100">
        <f t="shared" si="15"/>
        <v>46207</v>
      </c>
      <c r="J96" s="18">
        <f t="shared" ref="J96:J105" si="17">I96+55</f>
        <v>46262</v>
      </c>
      <c r="K96" s="101"/>
      <c r="L96" s="101"/>
      <c r="M96" s="101"/>
      <c r="N96" s="102"/>
      <c r="O96" s="102"/>
      <c r="P96" s="101"/>
      <c r="Q96" s="101"/>
      <c r="R96" s="101"/>
      <c r="S96" s="101"/>
      <c r="T96" s="103"/>
      <c r="U96" s="103"/>
    </row>
    <row r="97" spans="2:21" s="96" customFormat="1" x14ac:dyDescent="0.45">
      <c r="B97" s="97" t="s">
        <v>113</v>
      </c>
      <c r="C97" s="98">
        <v>7911509541778</v>
      </c>
      <c r="D97" s="99" t="s">
        <v>114</v>
      </c>
      <c r="E97" s="99" t="s">
        <v>76</v>
      </c>
      <c r="F97" s="99"/>
      <c r="G97" s="99"/>
      <c r="H97" s="100">
        <v>46196</v>
      </c>
      <c r="I97" s="100">
        <f t="shared" si="15"/>
        <v>46207</v>
      </c>
      <c r="J97" s="18">
        <f t="shared" si="17"/>
        <v>46262</v>
      </c>
      <c r="K97" s="101"/>
      <c r="L97" s="101"/>
      <c r="M97" s="101"/>
      <c r="N97" s="102"/>
      <c r="O97" s="102"/>
      <c r="P97" s="101"/>
      <c r="Q97" s="101"/>
      <c r="R97" s="101"/>
      <c r="S97" s="101"/>
      <c r="T97" s="103"/>
      <c r="U97" s="103"/>
    </row>
    <row r="98" spans="2:21" s="96" customFormat="1" x14ac:dyDescent="0.45">
      <c r="B98" s="97" t="s">
        <v>113</v>
      </c>
      <c r="C98" s="98">
        <v>79115016652778</v>
      </c>
      <c r="D98" s="99" t="s">
        <v>114</v>
      </c>
      <c r="E98" s="99" t="s">
        <v>76</v>
      </c>
      <c r="F98" s="99"/>
      <c r="G98" s="99"/>
      <c r="H98" s="100">
        <v>46196</v>
      </c>
      <c r="I98" s="100">
        <f t="shared" si="15"/>
        <v>46207</v>
      </c>
      <c r="J98" s="18">
        <f t="shared" si="17"/>
        <v>46262</v>
      </c>
      <c r="K98" s="101"/>
      <c r="L98" s="101"/>
      <c r="M98" s="101"/>
      <c r="N98" s="102"/>
      <c r="O98" s="102"/>
      <c r="P98" s="101"/>
      <c r="Q98" s="101"/>
      <c r="R98" s="101"/>
      <c r="S98" s="101"/>
      <c r="T98" s="103"/>
      <c r="U98" s="103"/>
    </row>
    <row r="99" spans="2:21" s="96" customFormat="1" x14ac:dyDescent="0.45">
      <c r="B99" s="97" t="s">
        <v>113</v>
      </c>
      <c r="C99" s="98" t="s">
        <v>115</v>
      </c>
      <c r="D99" s="99" t="s">
        <v>114</v>
      </c>
      <c r="E99" s="99" t="s">
        <v>76</v>
      </c>
      <c r="F99" s="99"/>
      <c r="G99" s="99"/>
      <c r="H99" s="100">
        <v>46196</v>
      </c>
      <c r="I99" s="100">
        <f t="shared" si="15"/>
        <v>46207</v>
      </c>
      <c r="J99" s="18">
        <f t="shared" si="17"/>
        <v>46262</v>
      </c>
      <c r="K99" s="101"/>
      <c r="L99" s="101"/>
      <c r="M99" s="101"/>
      <c r="N99" s="102"/>
      <c r="O99" s="102"/>
      <c r="P99" s="101"/>
      <c r="Q99" s="101"/>
      <c r="R99" s="101"/>
      <c r="S99" s="101"/>
      <c r="T99" s="103"/>
      <c r="U99" s="103"/>
    </row>
    <row r="100" spans="2:21" x14ac:dyDescent="0.45">
      <c r="B100" s="16" t="s">
        <v>106</v>
      </c>
      <c r="C100" s="34" t="s">
        <v>117</v>
      </c>
      <c r="E100" s="35" t="s">
        <v>76</v>
      </c>
      <c r="H100" s="18">
        <v>46197</v>
      </c>
      <c r="I100" s="18">
        <f t="shared" si="15"/>
        <v>46207</v>
      </c>
      <c r="J100" s="18">
        <f t="shared" ref="J100:J101" si="18">I100+60</f>
        <v>46267</v>
      </c>
      <c r="T100" s="25" t="str">
        <f t="shared" ref="T100:T101" ca="1" si="19">IF(J100&lt;TODAY(),"ARRIVED",IF(J100-TODAY()&lt;=7,"ARRIVING SOON",J100-TODAY()&amp;"DAYS LEFT"))</f>
        <v>19DAYS LEFT</v>
      </c>
      <c r="U100" s="86" t="str">
        <f t="shared" ref="U100:U101" ca="1" si="20">IF(TODAY()&gt;J100+MOD(4-WEEKDAY(J100),7)," DELIVERED AT WAREHOUSE", IF(J100-TODAY()&gt;45, "ORIGIN (CHINA)", IF(J100-TODAY()&gt;15, "SEA TRANSIT", "CUSTOMS CLEARANCE / PORT")))</f>
        <v>SEA TRANSIT</v>
      </c>
    </row>
    <row r="101" spans="2:21" x14ac:dyDescent="0.45">
      <c r="B101" s="121" t="s">
        <v>107</v>
      </c>
      <c r="C101" s="34" t="s">
        <v>118</v>
      </c>
      <c r="E101" s="35" t="s">
        <v>76</v>
      </c>
      <c r="H101" s="18">
        <v>46197</v>
      </c>
      <c r="I101" s="18">
        <f t="shared" si="15"/>
        <v>46207</v>
      </c>
      <c r="J101" s="18">
        <f t="shared" si="18"/>
        <v>46267</v>
      </c>
      <c r="T101" s="25" t="str">
        <f t="shared" ca="1" si="19"/>
        <v>19DAYS LEFT</v>
      </c>
      <c r="U101" s="86" t="str">
        <f t="shared" ca="1" si="20"/>
        <v>SEA TRANSIT</v>
      </c>
    </row>
    <row r="102" spans="2:21" x14ac:dyDescent="0.45">
      <c r="B102" s="16" t="s">
        <v>107</v>
      </c>
      <c r="C102" s="34" t="s">
        <v>119</v>
      </c>
      <c r="D102" s="35" t="s">
        <v>114</v>
      </c>
      <c r="E102" s="35" t="s">
        <v>76</v>
      </c>
      <c r="H102" s="18">
        <v>46197</v>
      </c>
      <c r="I102" s="18">
        <f t="shared" si="15"/>
        <v>46207</v>
      </c>
      <c r="J102" s="18">
        <f t="shared" si="17"/>
        <v>46262</v>
      </c>
    </row>
    <row r="103" spans="2:21" x14ac:dyDescent="0.45">
      <c r="B103" s="16" t="s">
        <v>107</v>
      </c>
      <c r="C103" s="34" t="s">
        <v>120</v>
      </c>
      <c r="D103" s="35" t="s">
        <v>114</v>
      </c>
      <c r="E103" s="35" t="s">
        <v>76</v>
      </c>
      <c r="H103" s="18">
        <v>46197</v>
      </c>
      <c r="I103" s="18">
        <f>H103+7+MOD(7-WEEKDAY(H103+7),7)</f>
        <v>46207</v>
      </c>
      <c r="J103" s="18">
        <f t="shared" si="17"/>
        <v>46262</v>
      </c>
    </row>
    <row r="104" spans="2:21" x14ac:dyDescent="0.45">
      <c r="B104" s="16" t="s">
        <v>107</v>
      </c>
      <c r="C104" s="34" t="s">
        <v>122</v>
      </c>
      <c r="D104" s="35" t="s">
        <v>114</v>
      </c>
      <c r="E104" s="35" t="s">
        <v>76</v>
      </c>
      <c r="H104" s="18">
        <v>46197</v>
      </c>
      <c r="I104" s="18">
        <f t="shared" ref="I104:I108" si="21">H104+7+MOD(7-WEEKDAY(H104+7),7)</f>
        <v>46207</v>
      </c>
      <c r="J104" s="18">
        <f t="shared" si="17"/>
        <v>46262</v>
      </c>
    </row>
    <row r="105" spans="2:21" x14ac:dyDescent="0.45">
      <c r="B105" s="16" t="s">
        <v>107</v>
      </c>
      <c r="C105" s="34" t="s">
        <v>121</v>
      </c>
      <c r="D105" s="35" t="s">
        <v>114</v>
      </c>
      <c r="E105" s="35" t="s">
        <v>76</v>
      </c>
      <c r="H105" s="18">
        <v>46197</v>
      </c>
      <c r="I105" s="18">
        <f t="shared" si="21"/>
        <v>46207</v>
      </c>
      <c r="J105" s="18">
        <f t="shared" si="17"/>
        <v>46262</v>
      </c>
    </row>
    <row r="106" spans="2:21" x14ac:dyDescent="0.45">
      <c r="B106" s="16" t="s">
        <v>98</v>
      </c>
      <c r="C106" s="34">
        <v>800244963131</v>
      </c>
      <c r="D106" s="35" t="s">
        <v>123</v>
      </c>
      <c r="E106" s="35" t="s">
        <v>76</v>
      </c>
      <c r="H106" s="18">
        <v>46197</v>
      </c>
      <c r="I106" s="18">
        <f t="shared" si="21"/>
        <v>46207</v>
      </c>
      <c r="J106" s="18">
        <f t="shared" ref="J106:J143" si="22">I106+60</f>
        <v>46267</v>
      </c>
      <c r="P106" s="18"/>
      <c r="T106" s="25" t="str">
        <f t="shared" ref="T106:T143" ca="1" si="23">IF(J106&lt;TODAY(),"ARRIVED",IF(J106-TODAY()&lt;=7,"ARRIVING SOON",J106-TODAY()&amp;"DAYS LEFT"))</f>
        <v>19DAYS LEFT</v>
      </c>
      <c r="U106" s="86" t="str">
        <f t="shared" ref="U106:U143" ca="1" si="24">IF(TODAY()&gt;J106+MOD(4-WEEKDAY(J106),7)," DELIVERED AT WAREHOUSE", IF(J106-TODAY()&gt;45, "ORIGIN (CHINA)", IF(J106-TODAY()&gt;15, "SEA TRANSIT", "CUSTOMS CLEARANCE / PORT")))</f>
        <v>SEA TRANSIT</v>
      </c>
    </row>
    <row r="107" spans="2:21" x14ac:dyDescent="0.45">
      <c r="B107" s="16" t="s">
        <v>42</v>
      </c>
      <c r="C107" s="34">
        <v>772068132534285</v>
      </c>
      <c r="E107" s="35" t="s">
        <v>76</v>
      </c>
      <c r="H107" s="18">
        <v>46197</v>
      </c>
      <c r="I107" s="18">
        <f t="shared" si="21"/>
        <v>46207</v>
      </c>
      <c r="J107" s="18">
        <f t="shared" si="22"/>
        <v>46267</v>
      </c>
      <c r="P107" s="18"/>
      <c r="T107" s="25" t="str">
        <f t="shared" ca="1" si="23"/>
        <v>19DAYS LEFT</v>
      </c>
      <c r="U107" s="86" t="str">
        <f t="shared" ca="1" si="24"/>
        <v>SEA TRANSIT</v>
      </c>
    </row>
    <row r="108" spans="2:21" x14ac:dyDescent="0.45">
      <c r="B108" s="16" t="s">
        <v>42</v>
      </c>
      <c r="C108" s="34">
        <v>773427695503363</v>
      </c>
      <c r="E108" s="35" t="s">
        <v>76</v>
      </c>
      <c r="H108" s="18">
        <v>46197</v>
      </c>
      <c r="I108" s="18">
        <f t="shared" si="21"/>
        <v>46207</v>
      </c>
      <c r="J108" s="18">
        <f t="shared" si="22"/>
        <v>46267</v>
      </c>
      <c r="P108" s="18">
        <f>I103+60</f>
        <v>46267</v>
      </c>
      <c r="T108" s="25" t="str">
        <f t="shared" ca="1" si="23"/>
        <v>19DAYS LEFT</v>
      </c>
      <c r="U108" s="86" t="str">
        <f t="shared" ca="1" si="24"/>
        <v>SEA TRANSIT</v>
      </c>
    </row>
    <row r="109" spans="2:21" x14ac:dyDescent="0.45">
      <c r="B109" s="16" t="s">
        <v>42</v>
      </c>
      <c r="C109" s="34">
        <v>79013180506140</v>
      </c>
      <c r="E109" s="35" t="s">
        <v>76</v>
      </c>
      <c r="H109" s="18">
        <v>46197</v>
      </c>
      <c r="I109" s="18">
        <f>H109+7+MOD(7-WEEKDAY(H109+7),7)</f>
        <v>46207</v>
      </c>
      <c r="J109" s="18">
        <f t="shared" si="22"/>
        <v>46267</v>
      </c>
      <c r="T109" s="25" t="str">
        <f t="shared" ca="1" si="23"/>
        <v>19DAYS LEFT</v>
      </c>
      <c r="U109" s="86" t="str">
        <f t="shared" ca="1" si="24"/>
        <v>SEA TRANSIT</v>
      </c>
    </row>
    <row r="110" spans="2:21" x14ac:dyDescent="0.45">
      <c r="B110" s="16" t="s">
        <v>124</v>
      </c>
      <c r="C110" s="34" t="s">
        <v>125</v>
      </c>
      <c r="E110" s="35" t="s">
        <v>128</v>
      </c>
      <c r="H110" s="18">
        <v>46200</v>
      </c>
      <c r="I110" s="18">
        <f t="shared" ref="I110:I143" si="25">H110+7+MOD(7-WEEKDAY(H110+7),7)</f>
        <v>46207</v>
      </c>
      <c r="J110" s="18">
        <f t="shared" si="22"/>
        <v>46267</v>
      </c>
      <c r="T110" s="25" t="str">
        <f t="shared" ca="1" si="23"/>
        <v>19DAYS LEFT</v>
      </c>
      <c r="U110" s="86" t="str">
        <f t="shared" ca="1" si="24"/>
        <v>SEA TRANSIT</v>
      </c>
    </row>
    <row r="111" spans="2:21" x14ac:dyDescent="0.45">
      <c r="B111" s="121" t="s">
        <v>126</v>
      </c>
      <c r="C111" s="34" t="s">
        <v>127</v>
      </c>
      <c r="E111" s="35" t="s">
        <v>75</v>
      </c>
      <c r="H111" s="18">
        <v>46200</v>
      </c>
      <c r="I111" s="18">
        <f t="shared" si="25"/>
        <v>46207</v>
      </c>
      <c r="J111" s="18">
        <f t="shared" si="22"/>
        <v>46267</v>
      </c>
      <c r="T111" s="25" t="str">
        <f t="shared" ca="1" si="23"/>
        <v>19DAYS LEFT</v>
      </c>
      <c r="U111" s="86" t="str">
        <f t="shared" ca="1" si="24"/>
        <v>SEA TRANSIT</v>
      </c>
    </row>
    <row r="112" spans="2:21" x14ac:dyDescent="0.45">
      <c r="C112" s="34" t="s">
        <v>108</v>
      </c>
      <c r="E112" s="35" t="s">
        <v>75</v>
      </c>
      <c r="H112" s="18">
        <v>46200</v>
      </c>
      <c r="I112" s="18">
        <f t="shared" si="25"/>
        <v>46207</v>
      </c>
      <c r="J112" s="18">
        <f t="shared" si="22"/>
        <v>46267</v>
      </c>
      <c r="T112" s="25" t="str">
        <f t="shared" ca="1" si="23"/>
        <v>19DAYS LEFT</v>
      </c>
      <c r="U112" s="86" t="str">
        <f t="shared" ca="1" si="24"/>
        <v>SEA TRANSIT</v>
      </c>
    </row>
    <row r="113" spans="2:21" x14ac:dyDescent="0.45">
      <c r="C113" s="34">
        <v>773427652166424</v>
      </c>
      <c r="E113" s="35" t="s">
        <v>75</v>
      </c>
      <c r="H113" s="18">
        <v>46200</v>
      </c>
      <c r="I113" s="18">
        <f t="shared" si="25"/>
        <v>46207</v>
      </c>
      <c r="J113" s="18">
        <f t="shared" si="22"/>
        <v>46267</v>
      </c>
      <c r="T113" s="25" t="str">
        <f t="shared" ca="1" si="23"/>
        <v>19DAYS LEFT</v>
      </c>
      <c r="U113" s="86" t="str">
        <f t="shared" ca="1" si="24"/>
        <v>SEA TRANSIT</v>
      </c>
    </row>
    <row r="114" spans="2:21" x14ac:dyDescent="0.45">
      <c r="C114" s="34">
        <v>79013041339193</v>
      </c>
      <c r="E114" s="35" t="s">
        <v>75</v>
      </c>
      <c r="H114" s="18">
        <v>46200</v>
      </c>
      <c r="I114" s="18">
        <f t="shared" si="25"/>
        <v>46207</v>
      </c>
      <c r="J114" s="18">
        <f t="shared" si="22"/>
        <v>46267</v>
      </c>
      <c r="T114" s="25" t="str">
        <f t="shared" ca="1" si="23"/>
        <v>19DAYS LEFT</v>
      </c>
      <c r="U114" s="86" t="str">
        <f t="shared" ca="1" si="24"/>
        <v>SEA TRANSIT</v>
      </c>
    </row>
    <row r="115" spans="2:21" x14ac:dyDescent="0.45">
      <c r="C115" s="34">
        <v>773427654553573</v>
      </c>
      <c r="E115" s="35" t="s">
        <v>75</v>
      </c>
      <c r="H115" s="18">
        <v>46200</v>
      </c>
      <c r="I115" s="18">
        <f t="shared" si="25"/>
        <v>46207</v>
      </c>
      <c r="J115" s="18">
        <f t="shared" si="22"/>
        <v>46267</v>
      </c>
      <c r="T115" s="25" t="str">
        <f t="shared" ca="1" si="23"/>
        <v>19DAYS LEFT</v>
      </c>
      <c r="U115" s="86" t="str">
        <f t="shared" ca="1" si="24"/>
        <v>SEA TRANSIT</v>
      </c>
    </row>
    <row r="116" spans="2:21" x14ac:dyDescent="0.45">
      <c r="C116" s="34">
        <v>79012986844413</v>
      </c>
      <c r="E116" s="35" t="s">
        <v>75</v>
      </c>
      <c r="H116" s="18">
        <v>46200</v>
      </c>
      <c r="I116" s="18">
        <f t="shared" si="25"/>
        <v>46207</v>
      </c>
      <c r="J116" s="18">
        <f t="shared" si="22"/>
        <v>46267</v>
      </c>
      <c r="T116" s="25" t="str">
        <f t="shared" ca="1" si="23"/>
        <v>19DAYS LEFT</v>
      </c>
      <c r="U116" s="86" t="str">
        <f t="shared" ca="1" si="24"/>
        <v>SEA TRANSIT</v>
      </c>
    </row>
    <row r="117" spans="2:21" x14ac:dyDescent="0.45">
      <c r="C117" s="34">
        <v>773427716036359</v>
      </c>
      <c r="E117" s="35" t="s">
        <v>75</v>
      </c>
      <c r="H117" s="18">
        <v>46200</v>
      </c>
      <c r="I117" s="18">
        <f t="shared" si="25"/>
        <v>46207</v>
      </c>
      <c r="J117" s="18">
        <f t="shared" si="22"/>
        <v>46267</v>
      </c>
      <c r="T117" s="25" t="str">
        <f t="shared" ca="1" si="23"/>
        <v>19DAYS LEFT</v>
      </c>
      <c r="U117" s="86" t="str">
        <f t="shared" ca="1" si="24"/>
        <v>SEA TRANSIT</v>
      </c>
    </row>
    <row r="118" spans="2:21" x14ac:dyDescent="0.45">
      <c r="C118" s="34" t="s">
        <v>129</v>
      </c>
      <c r="E118" s="35" t="s">
        <v>75</v>
      </c>
      <c r="H118" s="18">
        <v>46200</v>
      </c>
      <c r="I118" s="18">
        <f t="shared" si="25"/>
        <v>46207</v>
      </c>
      <c r="J118" s="18">
        <f t="shared" si="22"/>
        <v>46267</v>
      </c>
      <c r="T118" s="25" t="str">
        <f t="shared" ca="1" si="23"/>
        <v>19DAYS LEFT</v>
      </c>
      <c r="U118" s="86" t="str">
        <f t="shared" ca="1" si="24"/>
        <v>SEA TRANSIT</v>
      </c>
    </row>
    <row r="119" spans="2:21" x14ac:dyDescent="0.45">
      <c r="C119" s="34" t="s">
        <v>121</v>
      </c>
      <c r="E119" s="35" t="s">
        <v>75</v>
      </c>
      <c r="H119" s="18">
        <v>46200</v>
      </c>
      <c r="I119" s="18">
        <f t="shared" si="25"/>
        <v>46207</v>
      </c>
      <c r="J119" s="18">
        <f t="shared" si="22"/>
        <v>46267</v>
      </c>
      <c r="T119" s="25" t="str">
        <f t="shared" ca="1" si="23"/>
        <v>19DAYS LEFT</v>
      </c>
      <c r="U119" s="86" t="str">
        <f t="shared" ca="1" si="24"/>
        <v>SEA TRANSIT</v>
      </c>
    </row>
    <row r="120" spans="2:21" x14ac:dyDescent="0.45">
      <c r="C120" s="34" t="s">
        <v>120</v>
      </c>
      <c r="E120" s="35" t="s">
        <v>75</v>
      </c>
      <c r="H120" s="18">
        <v>46200</v>
      </c>
      <c r="I120" s="18">
        <f t="shared" si="25"/>
        <v>46207</v>
      </c>
      <c r="J120" s="18">
        <f t="shared" si="22"/>
        <v>46267</v>
      </c>
      <c r="T120" s="25" t="str">
        <f t="shared" ca="1" si="23"/>
        <v>19DAYS LEFT</v>
      </c>
      <c r="U120" s="86" t="str">
        <f t="shared" ca="1" si="24"/>
        <v>SEA TRANSIT</v>
      </c>
    </row>
    <row r="121" spans="2:21" x14ac:dyDescent="0.45">
      <c r="C121" s="34">
        <v>79115863294759</v>
      </c>
      <c r="E121" s="35" t="s">
        <v>75</v>
      </c>
      <c r="H121" s="18">
        <v>46200</v>
      </c>
      <c r="I121" s="18">
        <f t="shared" si="25"/>
        <v>46207</v>
      </c>
      <c r="J121" s="18">
        <f t="shared" si="22"/>
        <v>46267</v>
      </c>
      <c r="T121" s="25" t="str">
        <f t="shared" ca="1" si="23"/>
        <v>19DAYS LEFT</v>
      </c>
      <c r="U121" s="86" t="str">
        <f t="shared" ca="1" si="24"/>
        <v>SEA TRANSIT</v>
      </c>
    </row>
    <row r="122" spans="2:21" x14ac:dyDescent="0.45">
      <c r="C122" s="34">
        <v>790057662218066</v>
      </c>
      <c r="E122" s="35" t="s">
        <v>75</v>
      </c>
      <c r="H122" s="18">
        <v>46200</v>
      </c>
      <c r="I122" s="18">
        <f t="shared" si="25"/>
        <v>46207</v>
      </c>
      <c r="J122" s="18">
        <f t="shared" si="22"/>
        <v>46267</v>
      </c>
      <c r="T122" s="25" t="str">
        <f t="shared" ca="1" si="23"/>
        <v>19DAYS LEFT</v>
      </c>
      <c r="U122" s="86" t="str">
        <f t="shared" ca="1" si="24"/>
        <v>SEA TRANSIT</v>
      </c>
    </row>
    <row r="123" spans="2:21" x14ac:dyDescent="0.45">
      <c r="C123" s="34" t="s">
        <v>122</v>
      </c>
      <c r="E123" s="35" t="s">
        <v>75</v>
      </c>
      <c r="H123" s="18">
        <v>46200</v>
      </c>
      <c r="I123" s="18">
        <f t="shared" si="25"/>
        <v>46207</v>
      </c>
      <c r="J123" s="18">
        <f t="shared" si="22"/>
        <v>46267</v>
      </c>
      <c r="T123" s="25" t="str">
        <f t="shared" ca="1" si="23"/>
        <v>19DAYS LEFT</v>
      </c>
      <c r="U123" s="86" t="str">
        <f t="shared" ca="1" si="24"/>
        <v>SEA TRANSIT</v>
      </c>
    </row>
    <row r="124" spans="2:21" x14ac:dyDescent="0.45">
      <c r="C124" s="34" t="s">
        <v>130</v>
      </c>
      <c r="E124" s="35" t="s">
        <v>75</v>
      </c>
      <c r="H124" s="18">
        <v>46200</v>
      </c>
      <c r="I124" s="18">
        <f t="shared" si="25"/>
        <v>46207</v>
      </c>
      <c r="J124" s="18">
        <f t="shared" si="22"/>
        <v>46267</v>
      </c>
      <c r="T124" s="25" t="str">
        <f t="shared" ca="1" si="23"/>
        <v>19DAYS LEFT</v>
      </c>
      <c r="U124" s="86" t="str">
        <f t="shared" ca="1" si="24"/>
        <v>SEA TRANSIT</v>
      </c>
    </row>
    <row r="125" spans="2:21" x14ac:dyDescent="0.45">
      <c r="C125" s="34" t="s">
        <v>131</v>
      </c>
      <c r="E125" s="35" t="s">
        <v>75</v>
      </c>
      <c r="H125" s="18">
        <v>46200</v>
      </c>
      <c r="I125" s="18">
        <f t="shared" si="25"/>
        <v>46207</v>
      </c>
      <c r="J125" s="18">
        <f t="shared" si="22"/>
        <v>46267</v>
      </c>
      <c r="T125" s="25" t="str">
        <f t="shared" ca="1" si="23"/>
        <v>19DAYS LEFT</v>
      </c>
      <c r="U125" s="86" t="str">
        <f t="shared" ca="1" si="24"/>
        <v>SEA TRANSIT</v>
      </c>
    </row>
    <row r="126" spans="2:21" x14ac:dyDescent="0.45">
      <c r="B126" s="121" t="s">
        <v>132</v>
      </c>
      <c r="E126" s="35" t="s">
        <v>75</v>
      </c>
      <c r="H126" s="18">
        <v>46200</v>
      </c>
      <c r="I126" s="18">
        <f t="shared" si="25"/>
        <v>46207</v>
      </c>
      <c r="J126" s="18">
        <f t="shared" si="22"/>
        <v>46267</v>
      </c>
      <c r="T126" s="25" t="str">
        <f t="shared" ca="1" si="23"/>
        <v>19DAYS LEFT</v>
      </c>
      <c r="U126" s="86" t="str">
        <f t="shared" ca="1" si="24"/>
        <v>SEA TRANSIT</v>
      </c>
    </row>
    <row r="127" spans="2:21" x14ac:dyDescent="0.45">
      <c r="B127" s="16" t="s">
        <v>110</v>
      </c>
      <c r="C127" s="34">
        <v>100115165050</v>
      </c>
      <c r="E127" s="35" t="s">
        <v>75</v>
      </c>
      <c r="H127" s="18">
        <v>46200</v>
      </c>
      <c r="I127" s="18">
        <f t="shared" si="25"/>
        <v>46207</v>
      </c>
      <c r="J127" s="18">
        <f t="shared" si="22"/>
        <v>46267</v>
      </c>
      <c r="T127" s="25" t="str">
        <f t="shared" ca="1" si="23"/>
        <v>19DAYS LEFT</v>
      </c>
      <c r="U127" s="86" t="str">
        <f t="shared" ca="1" si="24"/>
        <v>SEA TRANSIT</v>
      </c>
    </row>
    <row r="128" spans="2:21" x14ac:dyDescent="0.45">
      <c r="C128" s="34">
        <v>500272982426</v>
      </c>
      <c r="E128" s="35" t="s">
        <v>75</v>
      </c>
      <c r="H128" s="18">
        <v>46200</v>
      </c>
      <c r="I128" s="18">
        <f t="shared" si="25"/>
        <v>46207</v>
      </c>
      <c r="J128" s="18">
        <f t="shared" si="22"/>
        <v>46267</v>
      </c>
      <c r="T128" s="25" t="str">
        <f t="shared" ca="1" si="23"/>
        <v>19DAYS LEFT</v>
      </c>
      <c r="U128" s="86" t="str">
        <f t="shared" ca="1" si="24"/>
        <v>SEA TRANSIT</v>
      </c>
    </row>
    <row r="129" spans="2:21" x14ac:dyDescent="0.45">
      <c r="B129" s="16" t="s">
        <v>133</v>
      </c>
      <c r="E129" s="35" t="s">
        <v>128</v>
      </c>
      <c r="H129" s="18">
        <v>46200</v>
      </c>
      <c r="I129" s="18">
        <f t="shared" si="25"/>
        <v>46207</v>
      </c>
      <c r="J129" s="18">
        <f t="shared" si="22"/>
        <v>46267</v>
      </c>
      <c r="T129" s="25" t="str">
        <f t="shared" ca="1" si="23"/>
        <v>19DAYS LEFT</v>
      </c>
      <c r="U129" s="86" t="str">
        <f t="shared" ca="1" si="24"/>
        <v>SEA TRANSIT</v>
      </c>
    </row>
    <row r="130" spans="2:21" x14ac:dyDescent="0.45">
      <c r="C130" s="34" t="s">
        <v>134</v>
      </c>
      <c r="H130" s="18">
        <v>46200</v>
      </c>
      <c r="I130" s="18">
        <f t="shared" si="25"/>
        <v>46207</v>
      </c>
      <c r="J130" s="18">
        <f t="shared" si="22"/>
        <v>46267</v>
      </c>
      <c r="T130" s="25" t="str">
        <f t="shared" ca="1" si="23"/>
        <v>19DAYS LEFT</v>
      </c>
      <c r="U130" s="86" t="str">
        <f t="shared" ca="1" si="24"/>
        <v>SEA TRANSIT</v>
      </c>
    </row>
    <row r="131" spans="2:21" x14ac:dyDescent="0.45">
      <c r="B131" s="121" t="s">
        <v>126</v>
      </c>
      <c r="C131" s="34" t="s">
        <v>135</v>
      </c>
      <c r="E131" s="35" t="s">
        <v>76</v>
      </c>
      <c r="H131" s="18">
        <v>46200</v>
      </c>
      <c r="I131" s="18">
        <f t="shared" si="25"/>
        <v>46207</v>
      </c>
      <c r="J131" s="18">
        <f t="shared" si="22"/>
        <v>46267</v>
      </c>
      <c r="T131" s="25" t="str">
        <f t="shared" ca="1" si="23"/>
        <v>19DAYS LEFT</v>
      </c>
      <c r="U131" s="86" t="str">
        <f t="shared" ca="1" si="24"/>
        <v>SEA TRANSIT</v>
      </c>
    </row>
    <row r="132" spans="2:21" x14ac:dyDescent="0.45">
      <c r="B132" s="121" t="s">
        <v>179</v>
      </c>
      <c r="H132" s="18">
        <v>46200</v>
      </c>
      <c r="I132" s="18">
        <f t="shared" si="25"/>
        <v>46207</v>
      </c>
      <c r="J132" s="18">
        <f t="shared" si="22"/>
        <v>46267</v>
      </c>
      <c r="T132" s="25" t="str">
        <f t="shared" ca="1" si="23"/>
        <v>19DAYS LEFT</v>
      </c>
      <c r="U132" s="86" t="str">
        <f t="shared" ca="1" si="24"/>
        <v>SEA TRANSIT</v>
      </c>
    </row>
    <row r="133" spans="2:21" x14ac:dyDescent="0.45">
      <c r="B133" s="16" t="s">
        <v>133</v>
      </c>
      <c r="E133" s="35" t="s">
        <v>143</v>
      </c>
      <c r="H133" s="18">
        <v>46200</v>
      </c>
      <c r="I133" s="18">
        <f t="shared" si="25"/>
        <v>46207</v>
      </c>
      <c r="J133" s="18">
        <f t="shared" si="22"/>
        <v>46267</v>
      </c>
      <c r="T133" s="25" t="str">
        <f t="shared" ca="1" si="23"/>
        <v>19DAYS LEFT</v>
      </c>
      <c r="U133" s="86" t="e" cm="1">
        <f t="array" aca="1" ref="U133" ca="1">IF(A137()&gt;J133+MOD(4-WEEKDAY(J133),7)," DELIVERED AT WAREHOUSE", IF(J133-TODAY()&gt;45, "ORIGIN (CHINA)", IF(J133-TODAY()&gt;15, "SEA TRANSIT", "CUSTOMS CLEARANCE / PORT")))</f>
        <v>#REF!</v>
      </c>
    </row>
    <row r="134" spans="2:21" x14ac:dyDescent="0.45">
      <c r="B134" s="16" t="s">
        <v>34</v>
      </c>
      <c r="E134" s="35" t="s">
        <v>128</v>
      </c>
      <c r="H134" s="18">
        <v>46200</v>
      </c>
      <c r="I134" s="18">
        <f t="shared" si="25"/>
        <v>46207</v>
      </c>
      <c r="J134" s="18">
        <f t="shared" si="22"/>
        <v>46267</v>
      </c>
      <c r="T134" s="25" t="str">
        <f t="shared" ca="1" si="23"/>
        <v>19DAYS LEFT</v>
      </c>
      <c r="U134" s="86" t="str">
        <f t="shared" ca="1" si="24"/>
        <v>SEA TRANSIT</v>
      </c>
    </row>
    <row r="135" spans="2:21" x14ac:dyDescent="0.45">
      <c r="B135" s="16" t="s">
        <v>136</v>
      </c>
      <c r="D135" s="35" t="s">
        <v>62</v>
      </c>
      <c r="E135" s="35" t="s">
        <v>128</v>
      </c>
      <c r="H135" s="18">
        <v>46200</v>
      </c>
      <c r="I135" s="18">
        <f t="shared" si="25"/>
        <v>46207</v>
      </c>
      <c r="J135" s="18">
        <f t="shared" si="22"/>
        <v>46267</v>
      </c>
      <c r="T135" s="25" t="str">
        <f t="shared" ca="1" si="23"/>
        <v>19DAYS LEFT</v>
      </c>
      <c r="U135" s="86" t="str">
        <f t="shared" ca="1" si="24"/>
        <v>SEA TRANSIT</v>
      </c>
    </row>
    <row r="136" spans="2:21" x14ac:dyDescent="0.45">
      <c r="B136" s="16" t="s">
        <v>124</v>
      </c>
      <c r="E136" s="35" t="s">
        <v>142</v>
      </c>
      <c r="H136" s="18">
        <v>46200</v>
      </c>
      <c r="I136" s="18">
        <f t="shared" si="25"/>
        <v>46207</v>
      </c>
      <c r="J136" s="18">
        <f t="shared" si="22"/>
        <v>46267</v>
      </c>
      <c r="T136" s="25" t="str">
        <f t="shared" ca="1" si="23"/>
        <v>19DAYS LEFT</v>
      </c>
      <c r="U136" s="86" t="str">
        <f t="shared" ca="1" si="24"/>
        <v>SEA TRANSIT</v>
      </c>
    </row>
    <row r="137" spans="2:21" x14ac:dyDescent="0.45">
      <c r="B137" s="16" t="s">
        <v>41</v>
      </c>
      <c r="D137" s="35" t="s">
        <v>141</v>
      </c>
      <c r="E137" s="35" t="s">
        <v>76</v>
      </c>
      <c r="H137" s="18">
        <v>46200</v>
      </c>
      <c r="I137" s="18">
        <f t="shared" si="25"/>
        <v>46207</v>
      </c>
      <c r="J137" s="18">
        <f t="shared" si="22"/>
        <v>46267</v>
      </c>
      <c r="T137" s="25" t="str">
        <f t="shared" ca="1" si="23"/>
        <v>19DAYS LEFT</v>
      </c>
      <c r="U137" s="86" t="str">
        <f t="shared" ca="1" si="24"/>
        <v>SEA TRANSIT</v>
      </c>
    </row>
    <row r="138" spans="2:21" x14ac:dyDescent="0.45">
      <c r="B138" s="16" t="s">
        <v>41</v>
      </c>
      <c r="C138" s="34" t="s">
        <v>137</v>
      </c>
      <c r="E138" s="35" t="s">
        <v>76</v>
      </c>
      <c r="H138" s="18">
        <v>46200</v>
      </c>
      <c r="I138" s="18">
        <f t="shared" si="25"/>
        <v>46207</v>
      </c>
      <c r="J138" s="18">
        <f t="shared" si="22"/>
        <v>46267</v>
      </c>
      <c r="T138" s="25" t="str">
        <f t="shared" ca="1" si="23"/>
        <v>19DAYS LEFT</v>
      </c>
      <c r="U138" s="86" t="str">
        <f t="shared" ca="1" si="24"/>
        <v>SEA TRANSIT</v>
      </c>
    </row>
    <row r="139" spans="2:21" x14ac:dyDescent="0.45">
      <c r="B139" s="16" t="s">
        <v>126</v>
      </c>
      <c r="C139" s="34">
        <v>435241969810638</v>
      </c>
      <c r="E139" s="35" t="s">
        <v>76</v>
      </c>
      <c r="H139" s="18">
        <v>46200</v>
      </c>
      <c r="I139" s="18">
        <f t="shared" si="25"/>
        <v>46207</v>
      </c>
      <c r="J139" s="18">
        <f t="shared" si="22"/>
        <v>46267</v>
      </c>
      <c r="T139" s="25" t="str">
        <f t="shared" ca="1" si="23"/>
        <v>19DAYS LEFT</v>
      </c>
      <c r="U139" s="86" t="str">
        <f t="shared" ca="1" si="24"/>
        <v>SEA TRANSIT</v>
      </c>
    </row>
    <row r="140" spans="2:21" x14ac:dyDescent="0.45">
      <c r="B140" s="16" t="s">
        <v>110</v>
      </c>
      <c r="C140" s="34" t="s">
        <v>138</v>
      </c>
      <c r="E140" s="35" t="s">
        <v>76</v>
      </c>
      <c r="H140" s="18">
        <v>46200</v>
      </c>
      <c r="I140" s="18">
        <f t="shared" si="25"/>
        <v>46207</v>
      </c>
      <c r="J140" s="18">
        <f t="shared" si="22"/>
        <v>46267</v>
      </c>
      <c r="T140" s="25" t="str">
        <f t="shared" ca="1" si="23"/>
        <v>19DAYS LEFT</v>
      </c>
      <c r="U140" s="86" t="str">
        <f t="shared" ca="1" si="24"/>
        <v>SEA TRANSIT</v>
      </c>
    </row>
    <row r="141" spans="2:21" x14ac:dyDescent="0.45">
      <c r="B141" s="16" t="s">
        <v>110</v>
      </c>
      <c r="C141" s="34">
        <v>10115165050</v>
      </c>
      <c r="E141" s="35" t="s">
        <v>76</v>
      </c>
      <c r="H141" s="18">
        <v>46200</v>
      </c>
      <c r="I141" s="18">
        <f t="shared" si="25"/>
        <v>46207</v>
      </c>
      <c r="J141" s="18">
        <f t="shared" si="22"/>
        <v>46267</v>
      </c>
      <c r="T141" s="25" t="str">
        <f t="shared" ca="1" si="23"/>
        <v>19DAYS LEFT</v>
      </c>
      <c r="U141" s="86" t="str">
        <f t="shared" ca="1" si="24"/>
        <v>SEA TRANSIT</v>
      </c>
    </row>
    <row r="142" spans="2:21" x14ac:dyDescent="0.45">
      <c r="B142" s="121" t="s">
        <v>139</v>
      </c>
      <c r="C142" s="34" t="s">
        <v>140</v>
      </c>
      <c r="E142" s="35" t="s">
        <v>76</v>
      </c>
      <c r="H142" s="18">
        <v>46200</v>
      </c>
      <c r="I142" s="18">
        <f t="shared" si="25"/>
        <v>46207</v>
      </c>
      <c r="J142" s="18">
        <f t="shared" si="22"/>
        <v>46267</v>
      </c>
      <c r="T142" s="25" t="str">
        <f t="shared" ca="1" si="23"/>
        <v>19DAYS LEFT</v>
      </c>
      <c r="U142" s="86" t="str">
        <f t="shared" ca="1" si="24"/>
        <v>SEA TRANSIT</v>
      </c>
    </row>
    <row r="143" spans="2:21" x14ac:dyDescent="0.45">
      <c r="B143" s="16" t="s">
        <v>144</v>
      </c>
      <c r="D143" s="35" t="s">
        <v>145</v>
      </c>
      <c r="E143" s="35" t="s">
        <v>75</v>
      </c>
      <c r="H143" s="18">
        <v>46203</v>
      </c>
      <c r="I143" s="18">
        <f t="shared" si="25"/>
        <v>46214</v>
      </c>
      <c r="J143" s="18">
        <f t="shared" si="22"/>
        <v>46274</v>
      </c>
      <c r="T143" s="25" t="str">
        <f t="shared" ca="1" si="23"/>
        <v>26DAYS LEFT</v>
      </c>
      <c r="U143" s="36" t="str">
        <f t="shared" ca="1" si="24"/>
        <v>SEA TRANSIT</v>
      </c>
    </row>
    <row r="144" spans="2:21" x14ac:dyDescent="0.45">
      <c r="T144" s="25"/>
    </row>
    <row r="145" spans="20:20" x14ac:dyDescent="0.45">
      <c r="T145" s="25"/>
    </row>
    <row r="146" spans="20:20" x14ac:dyDescent="0.45">
      <c r="T146" s="25"/>
    </row>
    <row r="147" spans="20:20" x14ac:dyDescent="0.45">
      <c r="T147" s="25"/>
    </row>
    <row r="148" spans="20:20" x14ac:dyDescent="0.45">
      <c r="T148" s="25"/>
    </row>
  </sheetData>
  <sortState xmlns:xlrd2="http://schemas.microsoft.com/office/spreadsheetml/2017/richdata2" ref="B2:S29">
    <sortCondition ref="S1:S29"/>
  </sortState>
  <mergeCells count="1">
    <mergeCell ref="A2:A7"/>
  </mergeCells>
  <conditionalFormatting sqref="H75:I80">
    <cfRule type="timePeriod" dxfId="4" priority="1" timePeriod="lastWeek">
      <formula>AND(TODAY()-ROUNDDOWN(H75,0)&gt;=(WEEKDAY(TODAY())),TODAY()-ROUNDDOWN(H75,0)&lt;(WEEKDAY(TODAY())+7))</formula>
    </cfRule>
  </conditionalFormatting>
  <dataValidations count="1">
    <dataValidation type="list" allowBlank="1" showInputMessage="1" showErrorMessage="1" sqref="K1:L1048576" xr:uid="{0F5D33E4-5CA0-40D7-A994-4B314FAFDB33}">
      <formula1>"Normal,Electronics"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F475D-F5EA-4982-BC38-4B70C4E89946}">
  <dimension ref="B1:U474"/>
  <sheetViews>
    <sheetView tabSelected="1" zoomScale="76" zoomScaleNormal="100" workbookViewId="0">
      <pane ySplit="1" topLeftCell="A436" activePane="bottomLeft" state="frozen"/>
      <selection pane="bottomLeft" activeCell="H5" sqref="H5"/>
    </sheetView>
  </sheetViews>
  <sheetFormatPr defaultRowHeight="18" x14ac:dyDescent="0.35"/>
  <cols>
    <col min="1" max="1" width="5.33203125" style="115" customWidth="1"/>
    <col min="2" max="2" width="27.21875" style="115" customWidth="1"/>
    <col min="3" max="3" width="28.5546875" style="117" customWidth="1"/>
    <col min="4" max="4" width="23" style="115" customWidth="1"/>
    <col min="5" max="5" width="20.109375" style="115" customWidth="1"/>
    <col min="6" max="6" width="27" style="115" bestFit="1" customWidth="1"/>
    <col min="7" max="7" width="26.21875" style="115" bestFit="1" customWidth="1"/>
    <col min="8" max="8" width="35.6640625" style="116" bestFit="1" customWidth="1"/>
    <col min="9" max="9" width="34.21875" style="115" bestFit="1" customWidth="1"/>
    <col min="10" max="10" width="36.77734375" style="115" bestFit="1" customWidth="1"/>
    <col min="11" max="11" width="14.44140625" style="115" customWidth="1"/>
    <col min="12" max="12" width="18.109375" style="115" customWidth="1"/>
    <col min="13" max="13" width="15.6640625" style="115" customWidth="1"/>
    <col min="14" max="17" width="8.88671875" style="115"/>
    <col min="18" max="18" width="15.109375" style="115" bestFit="1" customWidth="1"/>
    <col min="19" max="19" width="9.6640625" style="115" bestFit="1" customWidth="1"/>
    <col min="20" max="20" width="19" style="118" customWidth="1"/>
    <col min="21" max="21" width="17.109375" style="115" customWidth="1"/>
    <col min="22" max="16384" width="8.88671875" style="115"/>
  </cols>
  <sheetData>
    <row r="1" spans="2:21" s="104" customFormat="1" ht="72.599999999999994" customHeight="1" x14ac:dyDescent="0.3">
      <c r="B1" s="105" t="s">
        <v>93</v>
      </c>
      <c r="C1" s="119" t="s">
        <v>57</v>
      </c>
      <c r="D1" s="106" t="s">
        <v>22</v>
      </c>
      <c r="E1" s="107" t="s">
        <v>94</v>
      </c>
      <c r="F1" s="107" t="s">
        <v>95</v>
      </c>
      <c r="G1" s="107" t="s">
        <v>96</v>
      </c>
      <c r="H1" s="108" t="s">
        <v>0</v>
      </c>
      <c r="I1" s="108" t="s">
        <v>97</v>
      </c>
      <c r="J1" s="108" t="s">
        <v>1</v>
      </c>
      <c r="K1" s="109" t="s">
        <v>8</v>
      </c>
      <c r="L1" s="109"/>
      <c r="M1" s="109" t="s">
        <v>9</v>
      </c>
      <c r="N1" s="110" t="s">
        <v>2</v>
      </c>
      <c r="O1" s="111" t="s">
        <v>3</v>
      </c>
      <c r="P1" s="112" t="s">
        <v>4</v>
      </c>
      <c r="Q1" s="109" t="s">
        <v>5</v>
      </c>
      <c r="R1" s="109" t="s">
        <v>6</v>
      </c>
      <c r="S1" s="113" t="s">
        <v>7</v>
      </c>
      <c r="T1" s="120" t="s">
        <v>29</v>
      </c>
      <c r="U1" s="114" t="s">
        <v>30</v>
      </c>
    </row>
    <row r="2" spans="2:21" s="131" customFormat="1" x14ac:dyDescent="0.35">
      <c r="B2" s="131" t="s">
        <v>146</v>
      </c>
      <c r="C2" s="132" t="s">
        <v>147</v>
      </c>
      <c r="E2" s="131" t="s">
        <v>148</v>
      </c>
      <c r="F2" s="133"/>
      <c r="G2" s="133"/>
      <c r="H2" s="133">
        <v>46205</v>
      </c>
      <c r="I2" s="133">
        <f>H2+7+MOD(7-WEEKDAY(H2+7),7)</f>
        <v>46214</v>
      </c>
      <c r="J2" s="133">
        <f t="shared" ref="J2:J10" si="0">I2+60</f>
        <v>46274</v>
      </c>
      <c r="T2" s="134" t="str">
        <f ca="1">IF(J2&lt;TODAY(),"ARRIVED",IF(J2-TODAY()&lt;=7,"ARRIVING SOON",J2-TODAY()&amp;"DAYS LEFT"))</f>
        <v>26DAYS LEFT</v>
      </c>
      <c r="U2" s="131" t="str">
        <f ca="1">IF(TODAY()&gt;J2+MOD(4-WEEKDAY(J2),7),"DELIVERED AT WAREHOUSE",IF(J2-TODAY()&gt;45,"ORIGIN(CHINA)",IF(J2-TODAY()&gt;15,"SEA TRANSIT","CUSTOM CLEARANCE/PORT")))</f>
        <v>SEA TRANSIT</v>
      </c>
    </row>
    <row r="3" spans="2:21" s="131" customFormat="1" x14ac:dyDescent="0.35">
      <c r="B3" s="131" t="s">
        <v>149</v>
      </c>
      <c r="C3" s="132"/>
      <c r="D3" s="131" t="s">
        <v>89</v>
      </c>
      <c r="E3" s="131" t="s">
        <v>150</v>
      </c>
      <c r="F3" s="133"/>
      <c r="G3" s="133"/>
      <c r="H3" s="133">
        <v>46205</v>
      </c>
      <c r="I3" s="133">
        <f t="shared" ref="I3:I59" si="1">H3+7+MOD(7-WEEKDAY(H3+7),7)</f>
        <v>46214</v>
      </c>
      <c r="J3" s="133">
        <f t="shared" si="0"/>
        <v>46274</v>
      </c>
      <c r="T3" s="134" t="str">
        <f t="shared" ref="T3:T110" ca="1" si="2">IF(J3&lt;TODAY(),"ARRIVED",IF(J3-TODAY()&lt;=7,"ARRIVING SOON",J3-TODAY()&amp;"DAYS LEFT"))</f>
        <v>26DAYS LEFT</v>
      </c>
      <c r="U3" s="131" t="str">
        <f t="shared" ref="U3:U109" ca="1" si="3">IF(TODAY()&gt;J3+MOD(4-WEEKDAY(J3),7),"DELIVERED AT WAREHOUSE",IF(J3-TODAY()&gt;45,"ORIGIN(CHINA)",IF(J3-TODAY()&gt;15,"SEA TRANSIT","CUSTOM CLEARANCE/PORT")))</f>
        <v>SEA TRANSIT</v>
      </c>
    </row>
    <row r="4" spans="2:21" s="131" customFormat="1" x14ac:dyDescent="0.35">
      <c r="B4" s="131" t="s">
        <v>151</v>
      </c>
      <c r="C4" s="132">
        <v>82633016034</v>
      </c>
      <c r="D4" s="131" t="s">
        <v>152</v>
      </c>
      <c r="E4" s="131" t="s">
        <v>75</v>
      </c>
      <c r="F4" s="133"/>
      <c r="H4" s="133">
        <v>46205</v>
      </c>
      <c r="I4" s="133">
        <f t="shared" si="1"/>
        <v>46214</v>
      </c>
      <c r="J4" s="133">
        <f t="shared" si="0"/>
        <v>46274</v>
      </c>
      <c r="T4" s="134" t="str">
        <f t="shared" ca="1" si="2"/>
        <v>26DAYS LEFT</v>
      </c>
      <c r="U4" s="131" t="str">
        <f t="shared" ca="1" si="3"/>
        <v>SEA TRANSIT</v>
      </c>
    </row>
    <row r="5" spans="2:21" s="131" customFormat="1" x14ac:dyDescent="0.35">
      <c r="B5" s="131" t="s">
        <v>110</v>
      </c>
      <c r="C5" s="132" t="s">
        <v>153</v>
      </c>
      <c r="D5" s="131" t="s">
        <v>154</v>
      </c>
      <c r="E5" s="135" t="s">
        <v>75</v>
      </c>
      <c r="F5" s="133"/>
      <c r="H5" s="133">
        <v>46206</v>
      </c>
      <c r="I5" s="133">
        <f t="shared" si="1"/>
        <v>46214</v>
      </c>
      <c r="J5" s="133">
        <f t="shared" si="0"/>
        <v>46274</v>
      </c>
      <c r="T5" s="134" t="str">
        <f t="shared" ca="1" si="2"/>
        <v>26DAYS LEFT</v>
      </c>
      <c r="U5" s="131" t="str">
        <f t="shared" ca="1" si="3"/>
        <v>SEA TRANSIT</v>
      </c>
    </row>
    <row r="6" spans="2:21" s="131" customFormat="1" x14ac:dyDescent="0.35">
      <c r="B6" s="131" t="s">
        <v>110</v>
      </c>
      <c r="C6" s="132">
        <v>773429432583478</v>
      </c>
      <c r="D6" s="131" t="s">
        <v>155</v>
      </c>
      <c r="E6" s="131" t="s">
        <v>75</v>
      </c>
      <c r="F6" s="133"/>
      <c r="H6" s="133">
        <v>46206</v>
      </c>
      <c r="I6" s="133">
        <f t="shared" si="1"/>
        <v>46214</v>
      </c>
      <c r="J6" s="133">
        <f t="shared" si="0"/>
        <v>46274</v>
      </c>
      <c r="T6" s="134" t="str">
        <f t="shared" ca="1" si="2"/>
        <v>26DAYS LEFT</v>
      </c>
      <c r="U6" s="131" t="str">
        <f t="shared" ca="1" si="3"/>
        <v>SEA TRANSIT</v>
      </c>
    </row>
    <row r="7" spans="2:21" s="131" customFormat="1" x14ac:dyDescent="0.35">
      <c r="B7" s="131" t="s">
        <v>139</v>
      </c>
      <c r="C7" s="132" t="s">
        <v>140</v>
      </c>
      <c r="E7" s="131" t="s">
        <v>75</v>
      </c>
      <c r="F7" s="133"/>
      <c r="H7" s="133">
        <v>46206</v>
      </c>
      <c r="I7" s="133">
        <f t="shared" si="1"/>
        <v>46214</v>
      </c>
      <c r="J7" s="133">
        <f t="shared" si="0"/>
        <v>46274</v>
      </c>
      <c r="T7" s="134" t="str">
        <f t="shared" ca="1" si="2"/>
        <v>26DAYS LEFT</v>
      </c>
      <c r="U7" s="131" t="str">
        <f t="shared" ca="1" si="3"/>
        <v>SEA TRANSIT</v>
      </c>
    </row>
    <row r="8" spans="2:21" s="131" customFormat="1" x14ac:dyDescent="0.35">
      <c r="B8" s="131" t="s">
        <v>110</v>
      </c>
      <c r="C8" s="132" t="s">
        <v>156</v>
      </c>
      <c r="E8" s="131" t="s">
        <v>75</v>
      </c>
      <c r="F8" s="133"/>
      <c r="H8" s="133">
        <v>46206</v>
      </c>
      <c r="I8" s="133">
        <f t="shared" si="1"/>
        <v>46214</v>
      </c>
      <c r="J8" s="133">
        <f t="shared" si="0"/>
        <v>46274</v>
      </c>
      <c r="T8" s="134" t="str">
        <f t="shared" ca="1" si="2"/>
        <v>26DAYS LEFT</v>
      </c>
      <c r="U8" s="131" t="str">
        <f t="shared" ca="1" si="3"/>
        <v>SEA TRANSIT</v>
      </c>
    </row>
    <row r="9" spans="2:21" s="131" customFormat="1" x14ac:dyDescent="0.35">
      <c r="B9" s="131" t="s">
        <v>34</v>
      </c>
      <c r="C9" s="132">
        <v>79118147096513</v>
      </c>
      <c r="E9" s="131" t="s">
        <v>75</v>
      </c>
      <c r="F9" s="133"/>
      <c r="H9" s="133">
        <v>46206</v>
      </c>
      <c r="I9" s="133">
        <f t="shared" si="1"/>
        <v>46214</v>
      </c>
      <c r="J9" s="133">
        <f t="shared" si="0"/>
        <v>46274</v>
      </c>
      <c r="T9" s="134" t="str">
        <f t="shared" ca="1" si="2"/>
        <v>26DAYS LEFT</v>
      </c>
      <c r="U9" s="131" t="str">
        <f t="shared" ca="1" si="3"/>
        <v>SEA TRANSIT</v>
      </c>
    </row>
    <row r="10" spans="2:21" s="131" customFormat="1" x14ac:dyDescent="0.35">
      <c r="B10" s="131" t="s">
        <v>244</v>
      </c>
      <c r="C10" s="132"/>
      <c r="D10" s="131" t="s">
        <v>245</v>
      </c>
      <c r="F10" s="133"/>
      <c r="H10" s="133">
        <v>46202</v>
      </c>
      <c r="I10" s="133">
        <f t="shared" si="1"/>
        <v>46214</v>
      </c>
      <c r="J10" s="133">
        <f t="shared" si="0"/>
        <v>46274</v>
      </c>
      <c r="T10" s="134" t="str">
        <f t="shared" ca="1" si="2"/>
        <v>26DAYS LEFT</v>
      </c>
      <c r="U10" s="131" t="str">
        <f t="shared" ca="1" si="3"/>
        <v>SEA TRANSIT</v>
      </c>
    </row>
    <row r="11" spans="2:21" s="131" customFormat="1" x14ac:dyDescent="0.35">
      <c r="B11" s="131" t="s">
        <v>110</v>
      </c>
      <c r="C11" s="132"/>
      <c r="E11" s="131" t="s">
        <v>75</v>
      </c>
      <c r="F11" s="133"/>
      <c r="H11" s="133">
        <v>46207</v>
      </c>
      <c r="I11" s="133">
        <f t="shared" si="1"/>
        <v>46214</v>
      </c>
      <c r="J11" s="133">
        <f t="shared" ref="J11:J16" si="4">I11+60</f>
        <v>46274</v>
      </c>
      <c r="T11" s="134" t="str">
        <f t="shared" ca="1" si="2"/>
        <v>26DAYS LEFT</v>
      </c>
      <c r="U11" s="131" t="str">
        <f t="shared" ca="1" si="3"/>
        <v>SEA TRANSIT</v>
      </c>
    </row>
    <row r="12" spans="2:21" s="152" customFormat="1" x14ac:dyDescent="0.35">
      <c r="B12" s="152" t="s">
        <v>250</v>
      </c>
      <c r="C12" s="153" t="s">
        <v>153</v>
      </c>
      <c r="E12" s="152" t="s">
        <v>75</v>
      </c>
      <c r="F12" s="154"/>
      <c r="H12" s="154">
        <v>46209</v>
      </c>
      <c r="I12" s="155">
        <f t="shared" si="1"/>
        <v>46221</v>
      </c>
      <c r="J12" s="154">
        <f>I12+60</f>
        <v>46281</v>
      </c>
      <c r="T12" s="156" t="str">
        <f t="shared" ca="1" si="2"/>
        <v>33DAYS LEFT</v>
      </c>
      <c r="U12" s="152" t="str">
        <f t="shared" ca="1" si="3"/>
        <v>SEA TRANSIT</v>
      </c>
    </row>
    <row r="13" spans="2:21" s="152" customFormat="1" x14ac:dyDescent="0.35">
      <c r="B13" s="152" t="s">
        <v>46</v>
      </c>
      <c r="C13" s="153">
        <v>30051282263</v>
      </c>
      <c r="D13" s="152" t="s">
        <v>157</v>
      </c>
      <c r="E13" s="152" t="s">
        <v>75</v>
      </c>
      <c r="F13" s="154"/>
      <c r="H13" s="154">
        <v>46209</v>
      </c>
      <c r="I13" s="155">
        <f t="shared" si="1"/>
        <v>46221</v>
      </c>
      <c r="J13" s="154">
        <f t="shared" si="4"/>
        <v>46281</v>
      </c>
      <c r="T13" s="156" t="str">
        <f t="shared" ca="1" si="2"/>
        <v>33DAYS LEFT</v>
      </c>
      <c r="U13" s="152" t="str">
        <f t="shared" ca="1" si="3"/>
        <v>SEA TRANSIT</v>
      </c>
    </row>
    <row r="14" spans="2:21" s="152" customFormat="1" x14ac:dyDescent="0.35">
      <c r="B14" s="152" t="s">
        <v>158</v>
      </c>
      <c r="C14" s="153" t="s">
        <v>159</v>
      </c>
      <c r="E14" s="152" t="s">
        <v>75</v>
      </c>
      <c r="F14" s="154"/>
      <c r="H14" s="154">
        <v>46209</v>
      </c>
      <c r="I14" s="155">
        <f t="shared" si="1"/>
        <v>46221</v>
      </c>
      <c r="J14" s="154">
        <f t="shared" si="4"/>
        <v>46281</v>
      </c>
      <c r="T14" s="156" t="str">
        <f t="shared" ca="1" si="2"/>
        <v>33DAYS LEFT</v>
      </c>
      <c r="U14" s="152" t="str">
        <f t="shared" ca="1" si="3"/>
        <v>SEA TRANSIT</v>
      </c>
    </row>
    <row r="15" spans="2:21" s="152" customFormat="1" x14ac:dyDescent="0.35">
      <c r="B15" s="152" t="s">
        <v>160</v>
      </c>
      <c r="C15" s="153"/>
      <c r="D15" s="152" t="s">
        <v>161</v>
      </c>
      <c r="E15" s="152" t="s">
        <v>75</v>
      </c>
      <c r="F15" s="154"/>
      <c r="H15" s="154">
        <v>46209</v>
      </c>
      <c r="I15" s="155">
        <f t="shared" si="1"/>
        <v>46221</v>
      </c>
      <c r="J15" s="154">
        <f t="shared" si="4"/>
        <v>46281</v>
      </c>
      <c r="T15" s="156" t="str">
        <f t="shared" ca="1" si="2"/>
        <v>33DAYS LEFT</v>
      </c>
      <c r="U15" s="152" t="str">
        <f t="shared" ca="1" si="3"/>
        <v>SEA TRANSIT</v>
      </c>
    </row>
    <row r="16" spans="2:21" s="152" customFormat="1" x14ac:dyDescent="0.35">
      <c r="B16" s="152" t="s">
        <v>110</v>
      </c>
      <c r="C16" s="153">
        <v>773429546738331</v>
      </c>
      <c r="E16" s="152" t="s">
        <v>75</v>
      </c>
      <c r="F16" s="154"/>
      <c r="H16" s="154">
        <v>46209</v>
      </c>
      <c r="I16" s="155">
        <f t="shared" si="1"/>
        <v>46221</v>
      </c>
      <c r="J16" s="154">
        <f t="shared" si="4"/>
        <v>46281</v>
      </c>
      <c r="T16" s="156" t="str">
        <f t="shared" ca="1" si="2"/>
        <v>33DAYS LEFT</v>
      </c>
      <c r="U16" s="152" t="str">
        <f t="shared" ca="1" si="3"/>
        <v>SEA TRANSIT</v>
      </c>
    </row>
    <row r="17" spans="2:21" s="152" customFormat="1" x14ac:dyDescent="0.35">
      <c r="B17" s="152" t="s">
        <v>34</v>
      </c>
      <c r="C17" s="153"/>
      <c r="D17" s="152" t="s">
        <v>162</v>
      </c>
      <c r="E17" s="152" t="s">
        <v>75</v>
      </c>
      <c r="F17" s="154"/>
      <c r="H17" s="154">
        <v>46209</v>
      </c>
      <c r="I17" s="155">
        <f t="shared" si="1"/>
        <v>46221</v>
      </c>
      <c r="J17" s="154">
        <f t="shared" ref="J17:J36" si="5">I17+60</f>
        <v>46281</v>
      </c>
      <c r="T17" s="156" t="str">
        <f t="shared" ca="1" si="2"/>
        <v>33DAYS LEFT</v>
      </c>
      <c r="U17" s="152" t="str">
        <f t="shared" ca="1" si="3"/>
        <v>SEA TRANSIT</v>
      </c>
    </row>
    <row r="18" spans="2:21" s="152" customFormat="1" x14ac:dyDescent="0.35">
      <c r="B18" s="152" t="s">
        <v>34</v>
      </c>
      <c r="C18" s="153" t="s">
        <v>163</v>
      </c>
      <c r="D18" s="152" t="s">
        <v>181</v>
      </c>
      <c r="E18" s="152" t="s">
        <v>74</v>
      </c>
      <c r="F18" s="154"/>
      <c r="H18" s="154">
        <v>46209</v>
      </c>
      <c r="I18" s="155">
        <f t="shared" si="1"/>
        <v>46221</v>
      </c>
      <c r="J18" s="154">
        <f t="shared" si="5"/>
        <v>46281</v>
      </c>
      <c r="T18" s="156" t="str">
        <f t="shared" ca="1" si="2"/>
        <v>33DAYS LEFT</v>
      </c>
      <c r="U18" s="152" t="str">
        <f t="shared" ca="1" si="3"/>
        <v>SEA TRANSIT</v>
      </c>
    </row>
    <row r="19" spans="2:21" s="152" customFormat="1" x14ac:dyDescent="0.35">
      <c r="B19" s="152" t="s">
        <v>34</v>
      </c>
      <c r="C19" s="153" t="s">
        <v>164</v>
      </c>
      <c r="E19" s="152" t="s">
        <v>75</v>
      </c>
      <c r="F19" s="154"/>
      <c r="H19" s="154">
        <v>46209</v>
      </c>
      <c r="I19" s="155">
        <f t="shared" si="1"/>
        <v>46221</v>
      </c>
      <c r="J19" s="154">
        <f t="shared" si="5"/>
        <v>46281</v>
      </c>
      <c r="T19" s="156" t="str">
        <f t="shared" ca="1" si="2"/>
        <v>33DAYS LEFT</v>
      </c>
      <c r="U19" s="152" t="str">
        <f t="shared" ca="1" si="3"/>
        <v>SEA TRANSIT</v>
      </c>
    </row>
    <row r="20" spans="2:21" s="152" customFormat="1" x14ac:dyDescent="0.35">
      <c r="B20" s="152" t="s">
        <v>165</v>
      </c>
      <c r="C20" s="153" t="s">
        <v>166</v>
      </c>
      <c r="E20" s="152" t="s">
        <v>75</v>
      </c>
      <c r="F20" s="154"/>
      <c r="H20" s="154">
        <v>46209</v>
      </c>
      <c r="I20" s="155">
        <f t="shared" si="1"/>
        <v>46221</v>
      </c>
      <c r="J20" s="154">
        <f t="shared" si="5"/>
        <v>46281</v>
      </c>
      <c r="T20" s="156" t="str">
        <f t="shared" ca="1" si="2"/>
        <v>33DAYS LEFT</v>
      </c>
      <c r="U20" s="152" t="str">
        <f t="shared" ca="1" si="3"/>
        <v>SEA TRANSIT</v>
      </c>
    </row>
    <row r="21" spans="2:21" s="152" customFormat="1" x14ac:dyDescent="0.35">
      <c r="B21" s="152" t="s">
        <v>167</v>
      </c>
      <c r="C21" s="153">
        <v>79016193661227</v>
      </c>
      <c r="E21" s="152" t="s">
        <v>75</v>
      </c>
      <c r="F21" s="154"/>
      <c r="H21" s="154">
        <v>46209</v>
      </c>
      <c r="I21" s="155">
        <f t="shared" si="1"/>
        <v>46221</v>
      </c>
      <c r="J21" s="154">
        <f t="shared" si="5"/>
        <v>46281</v>
      </c>
      <c r="T21" s="156" t="str">
        <f t="shared" ca="1" si="2"/>
        <v>33DAYS LEFT</v>
      </c>
      <c r="U21" s="152" t="str">
        <f t="shared" ca="1" si="3"/>
        <v>SEA TRANSIT</v>
      </c>
    </row>
    <row r="22" spans="2:21" s="152" customFormat="1" x14ac:dyDescent="0.35">
      <c r="B22" s="152" t="s">
        <v>34</v>
      </c>
      <c r="C22" s="153" t="s">
        <v>168</v>
      </c>
      <c r="E22" s="152" t="s">
        <v>75</v>
      </c>
      <c r="F22" s="154"/>
      <c r="H22" s="154">
        <v>46209</v>
      </c>
      <c r="I22" s="155">
        <f t="shared" si="1"/>
        <v>46221</v>
      </c>
      <c r="J22" s="154">
        <f t="shared" si="5"/>
        <v>46281</v>
      </c>
      <c r="T22" s="156" t="str">
        <f t="shared" ca="1" si="2"/>
        <v>33DAYS LEFT</v>
      </c>
      <c r="U22" s="152" t="str">
        <f t="shared" ca="1" si="3"/>
        <v>SEA TRANSIT</v>
      </c>
    </row>
    <row r="23" spans="2:21" s="152" customFormat="1" x14ac:dyDescent="0.35">
      <c r="B23" s="152" t="s">
        <v>169</v>
      </c>
      <c r="C23" s="153">
        <v>435254951380256</v>
      </c>
      <c r="E23" s="152" t="s">
        <v>75</v>
      </c>
      <c r="F23" s="154"/>
      <c r="H23" s="154">
        <v>46209</v>
      </c>
      <c r="I23" s="155">
        <f t="shared" si="1"/>
        <v>46221</v>
      </c>
      <c r="J23" s="154">
        <f t="shared" si="5"/>
        <v>46281</v>
      </c>
      <c r="T23" s="156" t="str">
        <f t="shared" ca="1" si="2"/>
        <v>33DAYS LEFT</v>
      </c>
      <c r="U23" s="152" t="str">
        <f t="shared" ca="1" si="3"/>
        <v>SEA TRANSIT</v>
      </c>
    </row>
    <row r="24" spans="2:21" s="152" customFormat="1" x14ac:dyDescent="0.35">
      <c r="B24" s="152" t="s">
        <v>169</v>
      </c>
      <c r="C24" s="153">
        <v>79016455477763</v>
      </c>
      <c r="E24" s="152" t="s">
        <v>75</v>
      </c>
      <c r="F24" s="154"/>
      <c r="H24" s="154">
        <v>46209</v>
      </c>
      <c r="I24" s="155">
        <f t="shared" si="1"/>
        <v>46221</v>
      </c>
      <c r="J24" s="154">
        <f t="shared" si="5"/>
        <v>46281</v>
      </c>
      <c r="T24" s="156" t="str">
        <f t="shared" ca="1" si="2"/>
        <v>33DAYS LEFT</v>
      </c>
      <c r="U24" s="152" t="str">
        <f t="shared" ca="1" si="3"/>
        <v>SEA TRANSIT</v>
      </c>
    </row>
    <row r="25" spans="2:21" s="152" customFormat="1" x14ac:dyDescent="0.35">
      <c r="B25" s="152" t="s">
        <v>34</v>
      </c>
      <c r="C25" s="153" t="s">
        <v>170</v>
      </c>
      <c r="E25" s="152" t="s">
        <v>75</v>
      </c>
      <c r="F25" s="154"/>
      <c r="H25" s="154">
        <v>46209</v>
      </c>
      <c r="I25" s="155">
        <f t="shared" si="1"/>
        <v>46221</v>
      </c>
      <c r="J25" s="154">
        <f t="shared" si="5"/>
        <v>46281</v>
      </c>
      <c r="T25" s="156" t="str">
        <f t="shared" ca="1" si="2"/>
        <v>33DAYS LEFT</v>
      </c>
      <c r="U25" s="152" t="str">
        <f t="shared" ca="1" si="3"/>
        <v>SEA TRANSIT</v>
      </c>
    </row>
    <row r="26" spans="2:21" s="152" customFormat="1" x14ac:dyDescent="0.35">
      <c r="B26" s="152" t="s">
        <v>169</v>
      </c>
      <c r="C26" s="153">
        <v>79016380814256</v>
      </c>
      <c r="E26" s="152" t="s">
        <v>75</v>
      </c>
      <c r="F26" s="154"/>
      <c r="H26" s="154">
        <v>46209</v>
      </c>
      <c r="I26" s="155">
        <f t="shared" si="1"/>
        <v>46221</v>
      </c>
      <c r="J26" s="154">
        <f t="shared" si="5"/>
        <v>46281</v>
      </c>
      <c r="T26" s="156" t="str">
        <f t="shared" ca="1" si="2"/>
        <v>33DAYS LEFT</v>
      </c>
      <c r="U26" s="152" t="str">
        <f t="shared" ca="1" si="3"/>
        <v>SEA TRANSIT</v>
      </c>
    </row>
    <row r="27" spans="2:21" s="152" customFormat="1" x14ac:dyDescent="0.35">
      <c r="B27" s="152" t="s">
        <v>110</v>
      </c>
      <c r="C27" s="153">
        <v>79016374491703</v>
      </c>
      <c r="E27" s="152" t="s">
        <v>75</v>
      </c>
      <c r="F27" s="154"/>
      <c r="H27" s="154">
        <v>46209</v>
      </c>
      <c r="I27" s="155">
        <f t="shared" si="1"/>
        <v>46221</v>
      </c>
      <c r="J27" s="154">
        <f t="shared" si="5"/>
        <v>46281</v>
      </c>
      <c r="T27" s="156" t="str">
        <f t="shared" ca="1" si="2"/>
        <v>33DAYS LEFT</v>
      </c>
      <c r="U27" s="152" t="str">
        <f t="shared" ca="1" si="3"/>
        <v>SEA TRANSIT</v>
      </c>
    </row>
    <row r="28" spans="2:21" s="152" customFormat="1" x14ac:dyDescent="0.35">
      <c r="B28" s="152" t="s">
        <v>180</v>
      </c>
      <c r="C28" s="153"/>
      <c r="D28" s="152" t="s">
        <v>171</v>
      </c>
      <c r="E28" s="152" t="s">
        <v>75</v>
      </c>
      <c r="F28" s="154"/>
      <c r="H28" s="154">
        <v>46209</v>
      </c>
      <c r="I28" s="155">
        <f t="shared" si="1"/>
        <v>46221</v>
      </c>
      <c r="J28" s="154">
        <f t="shared" si="5"/>
        <v>46281</v>
      </c>
      <c r="T28" s="156" t="str">
        <f t="shared" ca="1" si="2"/>
        <v>33DAYS LEFT</v>
      </c>
      <c r="U28" s="152" t="str">
        <f t="shared" ca="1" si="3"/>
        <v>SEA TRANSIT</v>
      </c>
    </row>
    <row r="29" spans="2:21" s="152" customFormat="1" x14ac:dyDescent="0.35">
      <c r="B29" s="152" t="s">
        <v>172</v>
      </c>
      <c r="C29" s="153"/>
      <c r="D29" s="152" t="s">
        <v>62</v>
      </c>
      <c r="E29" s="152" t="s">
        <v>75</v>
      </c>
      <c r="F29" s="154"/>
      <c r="H29" s="154">
        <v>46209</v>
      </c>
      <c r="I29" s="155">
        <f t="shared" si="1"/>
        <v>46221</v>
      </c>
      <c r="J29" s="154">
        <f t="shared" si="5"/>
        <v>46281</v>
      </c>
      <c r="T29" s="156" t="str">
        <f t="shared" ca="1" si="2"/>
        <v>33DAYS LEFT</v>
      </c>
      <c r="U29" s="152" t="str">
        <f t="shared" ca="1" si="3"/>
        <v>SEA TRANSIT</v>
      </c>
    </row>
    <row r="30" spans="2:21" s="152" customFormat="1" x14ac:dyDescent="0.35">
      <c r="B30" s="152" t="s">
        <v>34</v>
      </c>
      <c r="C30" s="153" t="s">
        <v>173</v>
      </c>
      <c r="E30" s="152" t="s">
        <v>75</v>
      </c>
      <c r="F30" s="154"/>
      <c r="H30" s="154">
        <v>46209</v>
      </c>
      <c r="I30" s="155">
        <f t="shared" si="1"/>
        <v>46221</v>
      </c>
      <c r="J30" s="154">
        <f t="shared" si="5"/>
        <v>46281</v>
      </c>
      <c r="T30" s="156" t="str">
        <f t="shared" ca="1" si="2"/>
        <v>33DAYS LEFT</v>
      </c>
      <c r="U30" s="152" t="str">
        <f t="shared" ca="1" si="3"/>
        <v>SEA TRANSIT</v>
      </c>
    </row>
    <row r="31" spans="2:21" s="152" customFormat="1" x14ac:dyDescent="0.35">
      <c r="B31" s="152" t="s">
        <v>139</v>
      </c>
      <c r="C31" s="153" t="s">
        <v>174</v>
      </c>
      <c r="E31" s="152" t="s">
        <v>128</v>
      </c>
      <c r="F31" s="154"/>
      <c r="H31" s="154">
        <v>46209</v>
      </c>
      <c r="I31" s="155">
        <f t="shared" si="1"/>
        <v>46221</v>
      </c>
      <c r="J31" s="154">
        <f t="shared" si="5"/>
        <v>46281</v>
      </c>
      <c r="T31" s="156" t="str">
        <f t="shared" ca="1" si="2"/>
        <v>33DAYS LEFT</v>
      </c>
      <c r="U31" s="152" t="str">
        <f t="shared" ca="1" si="3"/>
        <v>SEA TRANSIT</v>
      </c>
    </row>
    <row r="32" spans="2:21" s="152" customFormat="1" x14ac:dyDescent="0.35">
      <c r="B32" s="152" t="s">
        <v>175</v>
      </c>
      <c r="C32" s="153">
        <v>79016633419136</v>
      </c>
      <c r="E32" s="152" t="s">
        <v>148</v>
      </c>
      <c r="F32" s="154"/>
      <c r="H32" s="154">
        <v>46209</v>
      </c>
      <c r="I32" s="155">
        <f t="shared" si="1"/>
        <v>46221</v>
      </c>
      <c r="J32" s="154">
        <f t="shared" si="5"/>
        <v>46281</v>
      </c>
      <c r="T32" s="156" t="str">
        <f t="shared" ca="1" si="2"/>
        <v>33DAYS LEFT</v>
      </c>
      <c r="U32" s="152" t="str">
        <f t="shared" ca="1" si="3"/>
        <v>SEA TRANSIT</v>
      </c>
    </row>
    <row r="33" spans="2:21" s="152" customFormat="1" x14ac:dyDescent="0.35">
      <c r="B33" s="152" t="s">
        <v>169</v>
      </c>
      <c r="C33" s="153" t="s">
        <v>176</v>
      </c>
      <c r="E33" s="152" t="s">
        <v>75</v>
      </c>
      <c r="F33" s="154"/>
      <c r="H33" s="154">
        <v>46209</v>
      </c>
      <c r="I33" s="155">
        <f t="shared" si="1"/>
        <v>46221</v>
      </c>
      <c r="J33" s="154">
        <f t="shared" si="5"/>
        <v>46281</v>
      </c>
      <c r="T33" s="156" t="str">
        <f t="shared" ca="1" si="2"/>
        <v>33DAYS LEFT</v>
      </c>
      <c r="U33" s="152" t="str">
        <f t="shared" ca="1" si="3"/>
        <v>SEA TRANSIT</v>
      </c>
    </row>
    <row r="34" spans="2:21" s="152" customFormat="1" x14ac:dyDescent="0.35">
      <c r="B34" s="152" t="s">
        <v>169</v>
      </c>
      <c r="C34" s="153">
        <v>79016437837877</v>
      </c>
      <c r="E34" s="152" t="s">
        <v>75</v>
      </c>
      <c r="F34" s="154"/>
      <c r="H34" s="154">
        <v>46209</v>
      </c>
      <c r="I34" s="155">
        <f t="shared" si="1"/>
        <v>46221</v>
      </c>
      <c r="J34" s="154">
        <f t="shared" si="5"/>
        <v>46281</v>
      </c>
      <c r="T34" s="156" t="str">
        <f t="shared" ca="1" si="2"/>
        <v>33DAYS LEFT</v>
      </c>
      <c r="U34" s="152" t="str">
        <f t="shared" ca="1" si="3"/>
        <v>SEA TRANSIT</v>
      </c>
    </row>
    <row r="35" spans="2:21" s="152" customFormat="1" x14ac:dyDescent="0.35">
      <c r="B35" s="152" t="s">
        <v>34</v>
      </c>
      <c r="C35" s="153">
        <v>79119671031160</v>
      </c>
      <c r="E35" s="152" t="s">
        <v>75</v>
      </c>
      <c r="F35" s="154"/>
      <c r="H35" s="154">
        <v>46209</v>
      </c>
      <c r="I35" s="155">
        <f t="shared" si="1"/>
        <v>46221</v>
      </c>
      <c r="J35" s="154">
        <f t="shared" si="5"/>
        <v>46281</v>
      </c>
      <c r="T35" s="156" t="str">
        <f t="shared" ca="1" si="2"/>
        <v>33DAYS LEFT</v>
      </c>
      <c r="U35" s="152" t="str">
        <f t="shared" ca="1" si="3"/>
        <v>SEA TRANSIT</v>
      </c>
    </row>
    <row r="36" spans="2:21" s="148" customFormat="1" x14ac:dyDescent="0.35">
      <c r="B36" s="148" t="s">
        <v>182</v>
      </c>
      <c r="C36" s="149">
        <v>79015874040707</v>
      </c>
      <c r="E36" s="148" t="s">
        <v>74</v>
      </c>
      <c r="F36" s="150"/>
      <c r="H36" s="150">
        <v>46210</v>
      </c>
      <c r="I36" s="150">
        <f t="shared" si="1"/>
        <v>46221</v>
      </c>
      <c r="J36" s="150">
        <f t="shared" si="5"/>
        <v>46281</v>
      </c>
      <c r="T36" s="151" t="str">
        <f t="shared" ca="1" si="2"/>
        <v>33DAYS LEFT</v>
      </c>
      <c r="U36" s="148" t="str">
        <f t="shared" ca="1" si="3"/>
        <v>SEA TRANSIT</v>
      </c>
    </row>
    <row r="37" spans="2:21" s="148" customFormat="1" x14ac:dyDescent="0.35">
      <c r="B37" s="148" t="s">
        <v>182</v>
      </c>
      <c r="C37" s="149">
        <v>435253468871801</v>
      </c>
      <c r="E37" s="148" t="s">
        <v>74</v>
      </c>
      <c r="F37" s="150"/>
      <c r="H37" s="150">
        <v>46210</v>
      </c>
      <c r="I37" s="150">
        <f t="shared" si="1"/>
        <v>46221</v>
      </c>
      <c r="J37" s="150">
        <f t="shared" ref="J37:J45" si="6">I37+60</f>
        <v>46281</v>
      </c>
      <c r="T37" s="151" t="str">
        <f t="shared" ca="1" si="2"/>
        <v>33DAYS LEFT</v>
      </c>
      <c r="U37" s="148" t="str">
        <f t="shared" ca="1" si="3"/>
        <v>SEA TRANSIT</v>
      </c>
    </row>
    <row r="38" spans="2:21" s="148" customFormat="1" x14ac:dyDescent="0.35">
      <c r="B38" s="148" t="s">
        <v>183</v>
      </c>
      <c r="C38" s="149" t="s">
        <v>184</v>
      </c>
      <c r="E38" s="148" t="s">
        <v>76</v>
      </c>
      <c r="F38" s="150"/>
      <c r="H38" s="150">
        <v>46210</v>
      </c>
      <c r="I38" s="150">
        <f t="shared" si="1"/>
        <v>46221</v>
      </c>
      <c r="J38" s="150">
        <f t="shared" si="6"/>
        <v>46281</v>
      </c>
      <c r="T38" s="151" t="str">
        <f t="shared" ca="1" si="2"/>
        <v>33DAYS LEFT</v>
      </c>
      <c r="U38" s="148" t="str">
        <f t="shared" ca="1" si="3"/>
        <v>SEA TRANSIT</v>
      </c>
    </row>
    <row r="39" spans="2:21" s="148" customFormat="1" x14ac:dyDescent="0.35">
      <c r="B39" s="148" t="s">
        <v>183</v>
      </c>
      <c r="C39" s="149">
        <v>7901657890991</v>
      </c>
      <c r="E39" s="148" t="s">
        <v>76</v>
      </c>
      <c r="F39" s="150"/>
      <c r="H39" s="150">
        <v>46210</v>
      </c>
      <c r="I39" s="150">
        <f t="shared" si="1"/>
        <v>46221</v>
      </c>
      <c r="J39" s="150">
        <f t="shared" si="6"/>
        <v>46281</v>
      </c>
      <c r="T39" s="151" t="str">
        <f t="shared" ca="1" si="2"/>
        <v>33DAYS LEFT</v>
      </c>
      <c r="U39" s="148" t="str">
        <f t="shared" ca="1" si="3"/>
        <v>SEA TRANSIT</v>
      </c>
    </row>
    <row r="40" spans="2:21" s="148" customFormat="1" x14ac:dyDescent="0.35">
      <c r="B40" s="148" t="s">
        <v>34</v>
      </c>
      <c r="C40" s="149" t="s">
        <v>185</v>
      </c>
      <c r="E40" s="148" t="s">
        <v>76</v>
      </c>
      <c r="F40" s="150"/>
      <c r="H40" s="150">
        <v>46210</v>
      </c>
      <c r="I40" s="150">
        <f t="shared" si="1"/>
        <v>46221</v>
      </c>
      <c r="J40" s="150">
        <f t="shared" si="6"/>
        <v>46281</v>
      </c>
      <c r="T40" s="151" t="str">
        <f t="shared" ca="1" si="2"/>
        <v>33DAYS LEFT</v>
      </c>
      <c r="U40" s="148" t="str">
        <f t="shared" ca="1" si="3"/>
        <v>SEA TRANSIT</v>
      </c>
    </row>
    <row r="41" spans="2:21" s="148" customFormat="1" x14ac:dyDescent="0.35">
      <c r="B41" s="148" t="s">
        <v>186</v>
      </c>
      <c r="C41" s="149">
        <v>773430387027820</v>
      </c>
      <c r="E41" s="148" t="s">
        <v>76</v>
      </c>
      <c r="F41" s="150"/>
      <c r="H41" s="150">
        <v>46210</v>
      </c>
      <c r="I41" s="150">
        <f t="shared" si="1"/>
        <v>46221</v>
      </c>
      <c r="J41" s="150">
        <f t="shared" si="6"/>
        <v>46281</v>
      </c>
      <c r="T41" s="151" t="str">
        <f t="shared" ca="1" si="2"/>
        <v>33DAYS LEFT</v>
      </c>
      <c r="U41" s="148" t="str">
        <f t="shared" ca="1" si="3"/>
        <v>SEA TRANSIT</v>
      </c>
    </row>
    <row r="42" spans="2:21" s="148" customFormat="1" x14ac:dyDescent="0.35">
      <c r="B42" s="148" t="s">
        <v>188</v>
      </c>
      <c r="C42" s="149"/>
      <c r="D42" s="148" t="s">
        <v>187</v>
      </c>
      <c r="E42" s="148" t="s">
        <v>76</v>
      </c>
      <c r="F42" s="150"/>
      <c r="H42" s="150">
        <v>46210</v>
      </c>
      <c r="I42" s="150">
        <f t="shared" si="1"/>
        <v>46221</v>
      </c>
      <c r="J42" s="150">
        <f t="shared" si="6"/>
        <v>46281</v>
      </c>
      <c r="T42" s="151" t="str">
        <f t="shared" ca="1" si="2"/>
        <v>33DAYS LEFT</v>
      </c>
      <c r="U42" s="148" t="str">
        <f t="shared" ca="1" si="3"/>
        <v>SEA TRANSIT</v>
      </c>
    </row>
    <row r="43" spans="2:21" s="148" customFormat="1" x14ac:dyDescent="0.35">
      <c r="B43" s="148" t="s">
        <v>189</v>
      </c>
      <c r="C43" s="149" t="s">
        <v>190</v>
      </c>
      <c r="D43" s="148" t="s">
        <v>191</v>
      </c>
      <c r="E43" s="148" t="s">
        <v>76</v>
      </c>
      <c r="F43" s="150"/>
      <c r="H43" s="150">
        <v>46210</v>
      </c>
      <c r="I43" s="150">
        <f t="shared" si="1"/>
        <v>46221</v>
      </c>
      <c r="J43" s="150">
        <f t="shared" si="6"/>
        <v>46281</v>
      </c>
      <c r="T43" s="151" t="str">
        <f t="shared" ca="1" si="2"/>
        <v>33DAYS LEFT</v>
      </c>
      <c r="U43" s="148" t="str">
        <f t="shared" ca="1" si="3"/>
        <v>SEA TRANSIT</v>
      </c>
    </row>
    <row r="44" spans="2:21" s="148" customFormat="1" x14ac:dyDescent="0.35">
      <c r="B44" s="148" t="s">
        <v>183</v>
      </c>
      <c r="C44" s="149">
        <v>773430071556560</v>
      </c>
      <c r="E44" s="148" t="s">
        <v>76</v>
      </c>
      <c r="F44" s="150"/>
      <c r="H44" s="150">
        <v>46210</v>
      </c>
      <c r="I44" s="150">
        <f t="shared" si="1"/>
        <v>46221</v>
      </c>
      <c r="J44" s="150">
        <f t="shared" si="6"/>
        <v>46281</v>
      </c>
      <c r="T44" s="151" t="str">
        <f t="shared" ca="1" si="2"/>
        <v>33DAYS LEFT</v>
      </c>
      <c r="U44" s="148" t="str">
        <f t="shared" ca="1" si="3"/>
        <v>SEA TRANSIT</v>
      </c>
    </row>
    <row r="45" spans="2:21" s="148" customFormat="1" x14ac:dyDescent="0.35">
      <c r="B45" s="148" t="s">
        <v>183</v>
      </c>
      <c r="C45" s="149">
        <v>465469753562145</v>
      </c>
      <c r="E45" s="148" t="s">
        <v>76</v>
      </c>
      <c r="F45" s="150"/>
      <c r="H45" s="150">
        <v>46210</v>
      </c>
      <c r="I45" s="150">
        <f t="shared" si="1"/>
        <v>46221</v>
      </c>
      <c r="J45" s="150">
        <f t="shared" si="6"/>
        <v>46281</v>
      </c>
      <c r="T45" s="151" t="str">
        <f t="shared" ca="1" si="2"/>
        <v>33DAYS LEFT</v>
      </c>
      <c r="U45" s="148" t="str">
        <f t="shared" ca="1" si="3"/>
        <v>SEA TRANSIT</v>
      </c>
    </row>
    <row r="46" spans="2:21" s="148" customFormat="1" x14ac:dyDescent="0.35">
      <c r="B46" s="148" t="s">
        <v>34</v>
      </c>
      <c r="C46" s="149">
        <v>777423950902087</v>
      </c>
      <c r="E46" s="148" t="s">
        <v>76</v>
      </c>
      <c r="F46" s="150"/>
      <c r="H46" s="150">
        <v>46210</v>
      </c>
      <c r="I46" s="150">
        <f t="shared" si="1"/>
        <v>46221</v>
      </c>
      <c r="J46" s="150">
        <f t="shared" ref="J46:J64" si="7">I46+60</f>
        <v>46281</v>
      </c>
      <c r="T46" s="151" t="str">
        <f t="shared" ca="1" si="2"/>
        <v>33DAYS LEFT</v>
      </c>
      <c r="U46" s="148" t="str">
        <f t="shared" ca="1" si="3"/>
        <v>SEA TRANSIT</v>
      </c>
    </row>
    <row r="47" spans="2:21" s="148" customFormat="1" x14ac:dyDescent="0.35">
      <c r="B47" s="148" t="s">
        <v>34</v>
      </c>
      <c r="C47" s="149">
        <v>79119671031160</v>
      </c>
      <c r="E47" s="148" t="s">
        <v>76</v>
      </c>
      <c r="F47" s="150"/>
      <c r="H47" s="150">
        <v>46210</v>
      </c>
      <c r="I47" s="150">
        <f t="shared" si="1"/>
        <v>46221</v>
      </c>
      <c r="J47" s="150">
        <f t="shared" si="7"/>
        <v>46281</v>
      </c>
      <c r="T47" s="151" t="str">
        <f t="shared" ca="1" si="2"/>
        <v>33DAYS LEFT</v>
      </c>
      <c r="U47" s="148" t="str">
        <f t="shared" ca="1" si="3"/>
        <v>SEA TRANSIT</v>
      </c>
    </row>
    <row r="48" spans="2:21" s="148" customFormat="1" x14ac:dyDescent="0.35">
      <c r="B48" s="148" t="s">
        <v>183</v>
      </c>
      <c r="C48" s="149">
        <v>79016437873870</v>
      </c>
      <c r="E48" s="148" t="s">
        <v>76</v>
      </c>
      <c r="F48" s="150"/>
      <c r="H48" s="150">
        <v>46210</v>
      </c>
      <c r="I48" s="150">
        <f t="shared" si="1"/>
        <v>46221</v>
      </c>
      <c r="J48" s="150">
        <f t="shared" si="7"/>
        <v>46281</v>
      </c>
      <c r="T48" s="151" t="str">
        <f t="shared" ca="1" si="2"/>
        <v>33DAYS LEFT</v>
      </c>
      <c r="U48" s="148" t="str">
        <f t="shared" ca="1" si="3"/>
        <v>SEA TRANSIT</v>
      </c>
    </row>
    <row r="49" spans="2:21" s="148" customFormat="1" x14ac:dyDescent="0.35">
      <c r="B49" s="148" t="s">
        <v>172</v>
      </c>
      <c r="C49" s="149">
        <v>79016380814256</v>
      </c>
      <c r="E49" s="148" t="s">
        <v>150</v>
      </c>
      <c r="F49" s="150"/>
      <c r="H49" s="150">
        <v>46210</v>
      </c>
      <c r="I49" s="150">
        <f t="shared" si="1"/>
        <v>46221</v>
      </c>
      <c r="J49" s="150">
        <f t="shared" si="7"/>
        <v>46281</v>
      </c>
      <c r="T49" s="151" t="str">
        <f t="shared" ca="1" si="2"/>
        <v>33DAYS LEFT</v>
      </c>
      <c r="U49" s="148" t="str">
        <f t="shared" ca="1" si="3"/>
        <v>SEA TRANSIT</v>
      </c>
    </row>
    <row r="50" spans="2:21" s="148" customFormat="1" x14ac:dyDescent="0.35">
      <c r="B50" s="148" t="s">
        <v>183</v>
      </c>
      <c r="C50" s="149" t="s">
        <v>192</v>
      </c>
      <c r="E50" s="148" t="s">
        <v>76</v>
      </c>
      <c r="F50" s="150"/>
      <c r="H50" s="150">
        <v>46210</v>
      </c>
      <c r="I50" s="150">
        <f t="shared" si="1"/>
        <v>46221</v>
      </c>
      <c r="J50" s="150">
        <f t="shared" si="7"/>
        <v>46281</v>
      </c>
      <c r="T50" s="151" t="str">
        <f t="shared" ca="1" si="2"/>
        <v>33DAYS LEFT</v>
      </c>
      <c r="U50" s="148" t="str">
        <f t="shared" ca="1" si="3"/>
        <v>SEA TRANSIT</v>
      </c>
    </row>
    <row r="51" spans="2:21" s="148" customFormat="1" x14ac:dyDescent="0.35">
      <c r="B51" s="148" t="s">
        <v>110</v>
      </c>
      <c r="C51" s="149">
        <v>79016374491703</v>
      </c>
      <c r="E51" s="148" t="s">
        <v>76</v>
      </c>
      <c r="F51" s="150"/>
      <c r="H51" s="150">
        <v>46210</v>
      </c>
      <c r="I51" s="150">
        <f t="shared" si="1"/>
        <v>46221</v>
      </c>
      <c r="J51" s="150">
        <f t="shared" si="7"/>
        <v>46281</v>
      </c>
      <c r="T51" s="151" t="str">
        <f t="shared" ca="1" si="2"/>
        <v>33DAYS LEFT</v>
      </c>
      <c r="U51" s="148" t="str">
        <f t="shared" ca="1" si="3"/>
        <v>SEA TRANSIT</v>
      </c>
    </row>
    <row r="52" spans="2:21" s="148" customFormat="1" x14ac:dyDescent="0.35">
      <c r="B52" s="148" t="s">
        <v>34</v>
      </c>
      <c r="C52" s="149">
        <v>465471875404336</v>
      </c>
      <c r="E52" s="148" t="s">
        <v>150</v>
      </c>
      <c r="F52" s="150"/>
      <c r="H52" s="150">
        <v>46210</v>
      </c>
      <c r="I52" s="150">
        <f t="shared" si="1"/>
        <v>46221</v>
      </c>
      <c r="J52" s="150">
        <f t="shared" si="7"/>
        <v>46281</v>
      </c>
      <c r="T52" s="151" t="str">
        <f t="shared" ca="1" si="2"/>
        <v>33DAYS LEFT</v>
      </c>
      <c r="U52" s="148" t="str">
        <f t="shared" ca="1" si="3"/>
        <v>SEA TRANSIT</v>
      </c>
    </row>
    <row r="53" spans="2:21" s="148" customFormat="1" x14ac:dyDescent="0.35">
      <c r="B53" s="148" t="s">
        <v>193</v>
      </c>
      <c r="C53" s="149"/>
      <c r="D53" s="148" t="s">
        <v>89</v>
      </c>
      <c r="E53" s="148" t="s">
        <v>76</v>
      </c>
      <c r="F53" s="150"/>
      <c r="H53" s="150">
        <v>46210</v>
      </c>
      <c r="I53" s="150">
        <f t="shared" si="1"/>
        <v>46221</v>
      </c>
      <c r="J53" s="150">
        <f t="shared" si="7"/>
        <v>46281</v>
      </c>
      <c r="T53" s="151" t="str">
        <f t="shared" ca="1" si="2"/>
        <v>33DAYS LEFT</v>
      </c>
      <c r="U53" s="148" t="str">
        <f t="shared" ca="1" si="3"/>
        <v>SEA TRANSIT</v>
      </c>
    </row>
    <row r="54" spans="2:21" s="136" customFormat="1" x14ac:dyDescent="0.35">
      <c r="B54" s="136" t="s">
        <v>194</v>
      </c>
      <c r="C54" s="137" t="s">
        <v>195</v>
      </c>
      <c r="D54" s="136" t="s">
        <v>196</v>
      </c>
      <c r="E54" s="136" t="s">
        <v>75</v>
      </c>
      <c r="F54" s="138"/>
      <c r="H54" s="138">
        <v>46211</v>
      </c>
      <c r="I54" s="138">
        <f t="shared" si="1"/>
        <v>46221</v>
      </c>
      <c r="J54" s="138">
        <f t="shared" si="7"/>
        <v>46281</v>
      </c>
      <c r="T54" s="139" t="str">
        <f t="shared" ca="1" si="2"/>
        <v>33DAYS LEFT</v>
      </c>
      <c r="U54" s="136" t="str">
        <f t="shared" ca="1" si="3"/>
        <v>SEA TRANSIT</v>
      </c>
    </row>
    <row r="55" spans="2:21" s="136" customFormat="1" x14ac:dyDescent="0.35">
      <c r="B55" s="136" t="s">
        <v>124</v>
      </c>
      <c r="C55" s="137">
        <v>999060918856</v>
      </c>
      <c r="E55" s="136" t="s">
        <v>75</v>
      </c>
      <c r="F55" s="138"/>
      <c r="H55" s="138">
        <v>46211</v>
      </c>
      <c r="I55" s="138">
        <f t="shared" si="1"/>
        <v>46221</v>
      </c>
      <c r="J55" s="138">
        <f t="shared" si="7"/>
        <v>46281</v>
      </c>
      <c r="T55" s="139" t="str">
        <f t="shared" ca="1" si="2"/>
        <v>33DAYS LEFT</v>
      </c>
      <c r="U55" s="136" t="str">
        <f t="shared" ca="1" si="3"/>
        <v>SEA TRANSIT</v>
      </c>
    </row>
    <row r="56" spans="2:21" s="136" customFormat="1" x14ac:dyDescent="0.35">
      <c r="B56" s="136" t="s">
        <v>189</v>
      </c>
      <c r="C56" s="137" t="s">
        <v>197</v>
      </c>
      <c r="D56" s="136" t="s">
        <v>198</v>
      </c>
      <c r="E56" s="136" t="s">
        <v>75</v>
      </c>
      <c r="F56" s="138"/>
      <c r="H56" s="138">
        <v>46211</v>
      </c>
      <c r="I56" s="138">
        <f t="shared" si="1"/>
        <v>46221</v>
      </c>
      <c r="J56" s="138">
        <f t="shared" si="7"/>
        <v>46281</v>
      </c>
      <c r="T56" s="139" t="str">
        <f t="shared" ca="1" si="2"/>
        <v>33DAYS LEFT</v>
      </c>
      <c r="U56" s="136" t="str">
        <f t="shared" ca="1" si="3"/>
        <v>SEA TRANSIT</v>
      </c>
    </row>
    <row r="57" spans="2:21" s="136" customFormat="1" x14ac:dyDescent="0.35">
      <c r="B57" s="136" t="s">
        <v>34</v>
      </c>
      <c r="C57" s="137">
        <v>77207012955867</v>
      </c>
      <c r="D57" s="136" t="s">
        <v>199</v>
      </c>
      <c r="E57" s="136" t="s">
        <v>75</v>
      </c>
      <c r="F57" s="138"/>
      <c r="H57" s="138">
        <v>46211</v>
      </c>
      <c r="I57" s="138">
        <f t="shared" si="1"/>
        <v>46221</v>
      </c>
      <c r="J57" s="138">
        <f t="shared" si="7"/>
        <v>46281</v>
      </c>
      <c r="T57" s="139" t="str">
        <f t="shared" ca="1" si="2"/>
        <v>33DAYS LEFT</v>
      </c>
      <c r="U57" s="136" t="str">
        <f t="shared" ca="1" si="3"/>
        <v>SEA TRANSIT</v>
      </c>
    </row>
    <row r="58" spans="2:21" s="136" customFormat="1" x14ac:dyDescent="0.35">
      <c r="B58" s="136" t="s">
        <v>124</v>
      </c>
      <c r="C58" s="137">
        <v>79016894383436</v>
      </c>
      <c r="D58" s="136" t="s">
        <v>200</v>
      </c>
      <c r="E58" s="136" t="s">
        <v>75</v>
      </c>
      <c r="F58" s="138"/>
      <c r="H58" s="138">
        <v>46211</v>
      </c>
      <c r="I58" s="138">
        <f t="shared" si="1"/>
        <v>46221</v>
      </c>
      <c r="J58" s="138">
        <f t="shared" si="7"/>
        <v>46281</v>
      </c>
      <c r="T58" s="139" t="str">
        <f t="shared" ca="1" si="2"/>
        <v>33DAYS LEFT</v>
      </c>
      <c r="U58" s="136" t="str">
        <f t="shared" ca="1" si="3"/>
        <v>SEA TRANSIT</v>
      </c>
    </row>
    <row r="59" spans="2:21" s="136" customFormat="1" x14ac:dyDescent="0.35">
      <c r="B59" s="136" t="s">
        <v>201</v>
      </c>
      <c r="C59" s="137"/>
      <c r="D59" s="136" t="s">
        <v>202</v>
      </c>
      <c r="E59" s="136" t="s">
        <v>75</v>
      </c>
      <c r="F59" s="138"/>
      <c r="H59" s="138">
        <v>46211</v>
      </c>
      <c r="I59" s="138">
        <f t="shared" si="1"/>
        <v>46221</v>
      </c>
      <c r="J59" s="138">
        <f t="shared" si="7"/>
        <v>46281</v>
      </c>
      <c r="T59" s="139" t="str">
        <f t="shared" ca="1" si="2"/>
        <v>33DAYS LEFT</v>
      </c>
      <c r="U59" s="136" t="str">
        <f t="shared" ca="1" si="3"/>
        <v>SEA TRANSIT</v>
      </c>
    </row>
    <row r="60" spans="2:21" s="140" customFormat="1" x14ac:dyDescent="0.35">
      <c r="B60" s="140" t="s">
        <v>110</v>
      </c>
      <c r="C60" s="141" t="s">
        <v>203</v>
      </c>
      <c r="D60" s="140" t="s">
        <v>62</v>
      </c>
      <c r="E60" s="140" t="s">
        <v>75</v>
      </c>
      <c r="F60" s="142"/>
      <c r="H60" s="142">
        <v>46212</v>
      </c>
      <c r="I60" s="142">
        <f t="shared" ref="I60:I90" si="8">H60+7+MOD(7-WEEKDAY(H60+7),7)</f>
        <v>46221</v>
      </c>
      <c r="J60" s="142">
        <f t="shared" si="7"/>
        <v>46281</v>
      </c>
      <c r="T60" s="143" t="str">
        <f t="shared" ca="1" si="2"/>
        <v>33DAYS LEFT</v>
      </c>
      <c r="U60" s="140" t="str">
        <f t="shared" ca="1" si="3"/>
        <v>SEA TRANSIT</v>
      </c>
    </row>
    <row r="61" spans="2:21" s="140" customFormat="1" x14ac:dyDescent="0.35">
      <c r="B61" s="140" t="s">
        <v>204</v>
      </c>
      <c r="C61" s="141" t="s">
        <v>205</v>
      </c>
      <c r="D61" s="140" t="s">
        <v>206</v>
      </c>
      <c r="E61" s="140" t="s">
        <v>75</v>
      </c>
      <c r="F61" s="142"/>
      <c r="H61" s="142">
        <v>46212</v>
      </c>
      <c r="I61" s="142">
        <f t="shared" si="8"/>
        <v>46221</v>
      </c>
      <c r="J61" s="142">
        <f t="shared" si="7"/>
        <v>46281</v>
      </c>
      <c r="T61" s="143" t="str">
        <f t="shared" ca="1" si="2"/>
        <v>33DAYS LEFT</v>
      </c>
      <c r="U61" s="140" t="str">
        <f t="shared" ca="1" si="3"/>
        <v>SEA TRANSIT</v>
      </c>
    </row>
    <row r="62" spans="2:21" s="140" customFormat="1" x14ac:dyDescent="0.35">
      <c r="B62" s="140" t="s">
        <v>194</v>
      </c>
      <c r="C62" s="141" t="s">
        <v>207</v>
      </c>
      <c r="D62" s="140" t="s">
        <v>208</v>
      </c>
      <c r="E62" s="140" t="s">
        <v>75</v>
      </c>
      <c r="F62" s="142"/>
      <c r="H62" s="142">
        <v>46212</v>
      </c>
      <c r="I62" s="142">
        <f t="shared" si="8"/>
        <v>46221</v>
      </c>
      <c r="J62" s="142">
        <f t="shared" si="7"/>
        <v>46281</v>
      </c>
      <c r="T62" s="143" t="str">
        <f t="shared" ca="1" si="2"/>
        <v>33DAYS LEFT</v>
      </c>
      <c r="U62" s="140" t="str">
        <f t="shared" ca="1" si="3"/>
        <v>SEA TRANSIT</v>
      </c>
    </row>
    <row r="63" spans="2:21" s="140" customFormat="1" x14ac:dyDescent="0.35">
      <c r="B63" s="140" t="s">
        <v>209</v>
      </c>
      <c r="C63" s="141">
        <v>773430685457809</v>
      </c>
      <c r="D63" s="140" t="s">
        <v>210</v>
      </c>
      <c r="E63" s="140" t="s">
        <v>128</v>
      </c>
      <c r="F63" s="142"/>
      <c r="H63" s="142">
        <v>46212</v>
      </c>
      <c r="I63" s="142">
        <f t="shared" si="8"/>
        <v>46221</v>
      </c>
      <c r="J63" s="142">
        <f t="shared" si="7"/>
        <v>46281</v>
      </c>
      <c r="T63" s="143" t="str">
        <f t="shared" ca="1" si="2"/>
        <v>33DAYS LEFT</v>
      </c>
      <c r="U63" s="140" t="str">
        <f t="shared" ca="1" si="3"/>
        <v>SEA TRANSIT</v>
      </c>
    </row>
    <row r="64" spans="2:21" s="140" customFormat="1" x14ac:dyDescent="0.35">
      <c r="B64" s="140" t="s">
        <v>189</v>
      </c>
      <c r="C64" s="141">
        <v>113096471416001</v>
      </c>
      <c r="D64" s="140" t="s">
        <v>211</v>
      </c>
      <c r="E64" s="140" t="s">
        <v>75</v>
      </c>
      <c r="F64" s="142"/>
      <c r="H64" s="142">
        <v>46212</v>
      </c>
      <c r="I64" s="142">
        <f t="shared" si="8"/>
        <v>46221</v>
      </c>
      <c r="J64" s="142">
        <f t="shared" si="7"/>
        <v>46281</v>
      </c>
      <c r="T64" s="143" t="str">
        <f t="shared" ca="1" si="2"/>
        <v>33DAYS LEFT</v>
      </c>
      <c r="U64" s="140" t="str">
        <f t="shared" ca="1" si="3"/>
        <v>SEA TRANSIT</v>
      </c>
    </row>
    <row r="65" spans="2:21" s="140" customFormat="1" x14ac:dyDescent="0.35">
      <c r="B65" s="140" t="s">
        <v>183</v>
      </c>
      <c r="C65" s="141" t="s">
        <v>212</v>
      </c>
      <c r="D65" s="140" t="s">
        <v>213</v>
      </c>
      <c r="E65" s="140" t="s">
        <v>75</v>
      </c>
      <c r="F65" s="142"/>
      <c r="H65" s="142">
        <v>46212</v>
      </c>
      <c r="I65" s="142">
        <f t="shared" si="8"/>
        <v>46221</v>
      </c>
      <c r="J65" s="142">
        <f t="shared" ref="J65:J79" si="9">I65+60</f>
        <v>46281</v>
      </c>
      <c r="T65" s="143" t="str">
        <f t="shared" ca="1" si="2"/>
        <v>33DAYS LEFT</v>
      </c>
      <c r="U65" s="140" t="str">
        <f t="shared" ca="1" si="3"/>
        <v>SEA TRANSIT</v>
      </c>
    </row>
    <row r="66" spans="2:21" s="140" customFormat="1" x14ac:dyDescent="0.35">
      <c r="B66" s="140" t="s">
        <v>214</v>
      </c>
      <c r="C66" s="141"/>
      <c r="D66" s="140" t="s">
        <v>62</v>
      </c>
      <c r="E66" s="140" t="s">
        <v>75</v>
      </c>
      <c r="F66" s="142"/>
      <c r="H66" s="142">
        <v>46212</v>
      </c>
      <c r="I66" s="142">
        <f t="shared" si="8"/>
        <v>46221</v>
      </c>
      <c r="J66" s="142">
        <f t="shared" si="9"/>
        <v>46281</v>
      </c>
      <c r="T66" s="143" t="str">
        <f t="shared" ca="1" si="2"/>
        <v>33DAYS LEFT</v>
      </c>
      <c r="U66" s="140" t="str">
        <f t="shared" ca="1" si="3"/>
        <v>SEA TRANSIT</v>
      </c>
    </row>
    <row r="67" spans="2:21" s="140" customFormat="1" x14ac:dyDescent="0.35">
      <c r="B67" s="140" t="s">
        <v>214</v>
      </c>
      <c r="C67" s="141" t="s">
        <v>197</v>
      </c>
      <c r="D67" s="140" t="s">
        <v>62</v>
      </c>
      <c r="E67" s="140" t="s">
        <v>75</v>
      </c>
      <c r="F67" s="142"/>
      <c r="H67" s="142">
        <v>46212</v>
      </c>
      <c r="I67" s="142">
        <f t="shared" si="8"/>
        <v>46221</v>
      </c>
      <c r="J67" s="142">
        <f t="shared" si="9"/>
        <v>46281</v>
      </c>
      <c r="T67" s="143" t="str">
        <f t="shared" ca="1" si="2"/>
        <v>33DAYS LEFT</v>
      </c>
      <c r="U67" s="140" t="str">
        <f t="shared" ca="1" si="3"/>
        <v>SEA TRANSIT</v>
      </c>
    </row>
    <row r="68" spans="2:21" s="140" customFormat="1" x14ac:dyDescent="0.35">
      <c r="B68" s="140" t="s">
        <v>136</v>
      </c>
      <c r="C68" s="141" t="s">
        <v>215</v>
      </c>
      <c r="D68" s="140" t="s">
        <v>216</v>
      </c>
      <c r="E68" s="140" t="s">
        <v>75</v>
      </c>
      <c r="F68" s="142"/>
      <c r="H68" s="142">
        <v>46212</v>
      </c>
      <c r="I68" s="142">
        <f t="shared" si="8"/>
        <v>46221</v>
      </c>
      <c r="J68" s="142">
        <f t="shared" si="9"/>
        <v>46281</v>
      </c>
      <c r="T68" s="143" t="str">
        <f t="shared" ca="1" si="2"/>
        <v>33DAYS LEFT</v>
      </c>
      <c r="U68" s="140" t="str">
        <f t="shared" ca="1" si="3"/>
        <v>SEA TRANSIT</v>
      </c>
    </row>
    <row r="69" spans="2:21" s="140" customFormat="1" x14ac:dyDescent="0.35">
      <c r="B69" s="140" t="s">
        <v>209</v>
      </c>
      <c r="C69" s="141" t="s">
        <v>217</v>
      </c>
      <c r="E69" s="140" t="s">
        <v>75</v>
      </c>
      <c r="F69" s="142"/>
      <c r="H69" s="142">
        <v>46212</v>
      </c>
      <c r="I69" s="142">
        <f t="shared" si="8"/>
        <v>46221</v>
      </c>
      <c r="J69" s="142">
        <f t="shared" si="9"/>
        <v>46281</v>
      </c>
      <c r="T69" s="143" t="str">
        <f t="shared" ca="1" si="2"/>
        <v>33DAYS LEFT</v>
      </c>
      <c r="U69" s="140" t="str">
        <f t="shared" ca="1" si="3"/>
        <v>SEA TRANSIT</v>
      </c>
    </row>
    <row r="70" spans="2:21" s="140" customFormat="1" x14ac:dyDescent="0.35">
      <c r="B70" s="140" t="s">
        <v>124</v>
      </c>
      <c r="C70" s="141"/>
      <c r="D70" s="140" t="s">
        <v>218</v>
      </c>
      <c r="E70" s="140" t="s">
        <v>75</v>
      </c>
      <c r="F70" s="142"/>
      <c r="H70" s="142">
        <v>46212</v>
      </c>
      <c r="I70" s="142">
        <f t="shared" si="8"/>
        <v>46221</v>
      </c>
      <c r="J70" s="142">
        <f t="shared" si="9"/>
        <v>46281</v>
      </c>
      <c r="T70" s="143" t="str">
        <f t="shared" ca="1" si="2"/>
        <v>33DAYS LEFT</v>
      </c>
      <c r="U70" s="140" t="str">
        <f t="shared" ca="1" si="3"/>
        <v>SEA TRANSIT</v>
      </c>
    </row>
    <row r="71" spans="2:21" s="140" customFormat="1" x14ac:dyDescent="0.35">
      <c r="B71" s="140" t="s">
        <v>219</v>
      </c>
      <c r="C71" s="141" t="s">
        <v>220</v>
      </c>
      <c r="D71" s="140" t="s">
        <v>221</v>
      </c>
      <c r="E71" s="140" t="s">
        <v>75</v>
      </c>
      <c r="F71" s="142"/>
      <c r="H71" s="142">
        <v>46212</v>
      </c>
      <c r="I71" s="142">
        <f t="shared" si="8"/>
        <v>46221</v>
      </c>
      <c r="J71" s="142">
        <f t="shared" si="9"/>
        <v>46281</v>
      </c>
      <c r="T71" s="143" t="str">
        <f t="shared" ca="1" si="2"/>
        <v>33DAYS LEFT</v>
      </c>
      <c r="U71" s="140" t="str">
        <f t="shared" ca="1" si="3"/>
        <v>SEA TRANSIT</v>
      </c>
    </row>
    <row r="72" spans="2:21" s="140" customFormat="1" x14ac:dyDescent="0.35">
      <c r="B72" s="140" t="s">
        <v>183</v>
      </c>
      <c r="C72" s="141" t="s">
        <v>222</v>
      </c>
      <c r="D72" s="140" t="s">
        <v>223</v>
      </c>
      <c r="E72" s="140" t="s">
        <v>75</v>
      </c>
      <c r="F72" s="142"/>
      <c r="H72" s="142">
        <v>46212</v>
      </c>
      <c r="I72" s="142">
        <f t="shared" si="8"/>
        <v>46221</v>
      </c>
      <c r="J72" s="142">
        <f t="shared" si="9"/>
        <v>46281</v>
      </c>
      <c r="T72" s="143" t="str">
        <f t="shared" ca="1" si="2"/>
        <v>33DAYS LEFT</v>
      </c>
      <c r="U72" s="140" t="str">
        <f t="shared" ca="1" si="3"/>
        <v>SEA TRANSIT</v>
      </c>
    </row>
    <row r="73" spans="2:21" s="140" customFormat="1" x14ac:dyDescent="0.35">
      <c r="B73" s="140" t="s">
        <v>189</v>
      </c>
      <c r="C73" s="141">
        <v>79017379252972</v>
      </c>
      <c r="D73" s="140" t="s">
        <v>224</v>
      </c>
      <c r="E73" s="140" t="s">
        <v>75</v>
      </c>
      <c r="F73" s="142"/>
      <c r="H73" s="142">
        <v>46212</v>
      </c>
      <c r="I73" s="142">
        <f t="shared" si="8"/>
        <v>46221</v>
      </c>
      <c r="J73" s="142">
        <f t="shared" si="9"/>
        <v>46281</v>
      </c>
      <c r="T73" s="143" t="str">
        <f t="shared" ca="1" si="2"/>
        <v>33DAYS LEFT</v>
      </c>
      <c r="U73" s="140" t="str">
        <f t="shared" ca="1" si="3"/>
        <v>SEA TRANSIT</v>
      </c>
    </row>
    <row r="74" spans="2:21" s="140" customFormat="1" x14ac:dyDescent="0.35">
      <c r="B74" s="140" t="s">
        <v>189</v>
      </c>
      <c r="C74" s="141">
        <v>435258448030995</v>
      </c>
      <c r="D74" s="140" t="s">
        <v>225</v>
      </c>
      <c r="E74" s="140" t="s">
        <v>75</v>
      </c>
      <c r="F74" s="142"/>
      <c r="H74" s="142">
        <v>46212</v>
      </c>
      <c r="I74" s="142">
        <f t="shared" si="8"/>
        <v>46221</v>
      </c>
      <c r="J74" s="142">
        <f t="shared" si="9"/>
        <v>46281</v>
      </c>
      <c r="T74" s="143" t="str">
        <f t="shared" ca="1" si="2"/>
        <v>33DAYS LEFT</v>
      </c>
      <c r="U74" s="140" t="str">
        <f t="shared" ca="1" si="3"/>
        <v>SEA TRANSIT</v>
      </c>
    </row>
    <row r="75" spans="2:21" s="140" customFormat="1" x14ac:dyDescent="0.35">
      <c r="B75" s="140" t="s">
        <v>124</v>
      </c>
      <c r="C75" s="141" t="s">
        <v>226</v>
      </c>
      <c r="D75" s="140" t="s">
        <v>227</v>
      </c>
      <c r="E75" s="140" t="s">
        <v>75</v>
      </c>
      <c r="F75" s="142"/>
      <c r="H75" s="142">
        <v>46212</v>
      </c>
      <c r="I75" s="142">
        <f t="shared" si="8"/>
        <v>46221</v>
      </c>
      <c r="J75" s="142">
        <f t="shared" si="9"/>
        <v>46281</v>
      </c>
      <c r="T75" s="143" t="str">
        <f t="shared" ca="1" si="2"/>
        <v>33DAYS LEFT</v>
      </c>
      <c r="U75" s="140" t="str">
        <f t="shared" ca="1" si="3"/>
        <v>SEA TRANSIT</v>
      </c>
    </row>
    <row r="76" spans="2:21" s="140" customFormat="1" x14ac:dyDescent="0.35">
      <c r="B76" s="140" t="s">
        <v>204</v>
      </c>
      <c r="C76" s="141"/>
      <c r="D76" s="140" t="s">
        <v>228</v>
      </c>
      <c r="E76" s="140" t="s">
        <v>75</v>
      </c>
      <c r="F76" s="142"/>
      <c r="H76" s="142">
        <v>46212</v>
      </c>
      <c r="I76" s="142">
        <f t="shared" si="8"/>
        <v>46221</v>
      </c>
      <c r="J76" s="142">
        <f t="shared" si="9"/>
        <v>46281</v>
      </c>
      <c r="T76" s="143" t="str">
        <f t="shared" ca="1" si="2"/>
        <v>33DAYS LEFT</v>
      </c>
      <c r="U76" s="140" t="str">
        <f t="shared" ca="1" si="3"/>
        <v>SEA TRANSIT</v>
      </c>
    </row>
    <row r="77" spans="2:21" s="140" customFormat="1" x14ac:dyDescent="0.35">
      <c r="B77" s="140" t="s">
        <v>189</v>
      </c>
      <c r="C77" s="141">
        <v>435259236541088</v>
      </c>
      <c r="D77" s="140" t="s">
        <v>229</v>
      </c>
      <c r="E77" s="140" t="s">
        <v>75</v>
      </c>
      <c r="F77" s="142"/>
      <c r="H77" s="142">
        <v>46212</v>
      </c>
      <c r="I77" s="142">
        <f t="shared" si="8"/>
        <v>46221</v>
      </c>
      <c r="J77" s="142">
        <f t="shared" si="9"/>
        <v>46281</v>
      </c>
      <c r="T77" s="143" t="str">
        <f t="shared" ca="1" si="2"/>
        <v>33DAYS LEFT</v>
      </c>
      <c r="U77" s="140" t="str">
        <f t="shared" ca="1" si="3"/>
        <v>SEA TRANSIT</v>
      </c>
    </row>
    <row r="78" spans="2:21" s="144" customFormat="1" x14ac:dyDescent="0.35">
      <c r="B78" s="144" t="s">
        <v>34</v>
      </c>
      <c r="C78" s="145">
        <v>772070462994516</v>
      </c>
      <c r="D78" s="144" t="s">
        <v>230</v>
      </c>
      <c r="E78" s="144" t="s">
        <v>75</v>
      </c>
      <c r="F78" s="146"/>
      <c r="H78" s="146">
        <v>46213</v>
      </c>
      <c r="I78" s="146">
        <f t="shared" si="8"/>
        <v>46221</v>
      </c>
      <c r="J78" s="146">
        <f t="shared" si="9"/>
        <v>46281</v>
      </c>
      <c r="T78" s="147" t="str">
        <f t="shared" ca="1" si="2"/>
        <v>33DAYS LEFT</v>
      </c>
      <c r="U78" s="144" t="str">
        <f t="shared" ca="1" si="3"/>
        <v>SEA TRANSIT</v>
      </c>
    </row>
    <row r="79" spans="2:21" s="144" customFormat="1" x14ac:dyDescent="0.35">
      <c r="B79" s="144" t="s">
        <v>34</v>
      </c>
      <c r="C79" s="145" t="s">
        <v>231</v>
      </c>
      <c r="E79" s="144" t="s">
        <v>75</v>
      </c>
      <c r="F79" s="146"/>
      <c r="H79" s="146">
        <v>46213</v>
      </c>
      <c r="I79" s="146">
        <f t="shared" si="8"/>
        <v>46221</v>
      </c>
      <c r="J79" s="146">
        <f t="shared" si="9"/>
        <v>46281</v>
      </c>
      <c r="T79" s="147" t="str">
        <f t="shared" ca="1" si="2"/>
        <v>33DAYS LEFT</v>
      </c>
      <c r="U79" s="144" t="str">
        <f t="shared" ca="1" si="3"/>
        <v>SEA TRANSIT</v>
      </c>
    </row>
    <row r="80" spans="2:21" s="144" customFormat="1" x14ac:dyDescent="0.35">
      <c r="B80" s="144" t="s">
        <v>172</v>
      </c>
      <c r="C80" s="145"/>
      <c r="D80" s="144" t="s">
        <v>232</v>
      </c>
      <c r="E80" s="144" t="s">
        <v>75</v>
      </c>
      <c r="F80" s="146"/>
      <c r="H80" s="146">
        <v>46213</v>
      </c>
      <c r="I80" s="146">
        <f t="shared" si="8"/>
        <v>46221</v>
      </c>
      <c r="J80" s="146">
        <f t="shared" ref="J80:J104" si="10">I80+60</f>
        <v>46281</v>
      </c>
      <c r="T80" s="147" t="str">
        <f t="shared" ca="1" si="2"/>
        <v>33DAYS LEFT</v>
      </c>
      <c r="U80" s="144" t="str">
        <f t="shared" ca="1" si="3"/>
        <v>SEA TRANSIT</v>
      </c>
    </row>
    <row r="81" spans="2:21" s="144" customFormat="1" x14ac:dyDescent="0.35">
      <c r="B81" s="144" t="s">
        <v>34</v>
      </c>
      <c r="C81" s="145" t="s">
        <v>233</v>
      </c>
      <c r="D81" s="144" t="s">
        <v>62</v>
      </c>
      <c r="E81" s="144" t="s">
        <v>75</v>
      </c>
      <c r="F81" s="146"/>
      <c r="H81" s="146">
        <v>46213</v>
      </c>
      <c r="I81" s="146">
        <f t="shared" si="8"/>
        <v>46221</v>
      </c>
      <c r="J81" s="146">
        <f t="shared" si="10"/>
        <v>46281</v>
      </c>
      <c r="T81" s="147" t="str">
        <f t="shared" ca="1" si="2"/>
        <v>33DAYS LEFT</v>
      </c>
      <c r="U81" s="144" t="str">
        <f t="shared" ca="1" si="3"/>
        <v>SEA TRANSIT</v>
      </c>
    </row>
    <row r="82" spans="2:21" s="144" customFormat="1" x14ac:dyDescent="0.35">
      <c r="B82" s="144" t="s">
        <v>124</v>
      </c>
      <c r="C82" s="145">
        <v>435260616375047</v>
      </c>
      <c r="D82" s="144" t="s">
        <v>234</v>
      </c>
      <c r="E82" s="144" t="s">
        <v>75</v>
      </c>
      <c r="F82" s="146"/>
      <c r="H82" s="146">
        <v>46213</v>
      </c>
      <c r="I82" s="146">
        <f t="shared" si="8"/>
        <v>46221</v>
      </c>
      <c r="J82" s="146">
        <f t="shared" si="10"/>
        <v>46281</v>
      </c>
      <c r="T82" s="147" t="str">
        <f t="shared" ca="1" si="2"/>
        <v>33DAYS LEFT</v>
      </c>
      <c r="U82" s="144" t="str">
        <f t="shared" ca="1" si="3"/>
        <v>SEA TRANSIT</v>
      </c>
    </row>
    <row r="83" spans="2:21" s="144" customFormat="1" x14ac:dyDescent="0.35">
      <c r="B83" s="144" t="s">
        <v>124</v>
      </c>
      <c r="C83" s="145">
        <v>131146109035</v>
      </c>
      <c r="D83" s="144" t="s">
        <v>235</v>
      </c>
      <c r="E83" s="144" t="s">
        <v>75</v>
      </c>
      <c r="F83" s="146"/>
      <c r="H83" s="146">
        <v>46213</v>
      </c>
      <c r="I83" s="146">
        <f t="shared" si="8"/>
        <v>46221</v>
      </c>
      <c r="J83" s="146">
        <f t="shared" si="10"/>
        <v>46281</v>
      </c>
      <c r="T83" s="147" t="str">
        <f t="shared" ca="1" si="2"/>
        <v>33DAYS LEFT</v>
      </c>
      <c r="U83" s="144" t="str">
        <f t="shared" ca="1" si="3"/>
        <v>SEA TRANSIT</v>
      </c>
    </row>
    <row r="84" spans="2:21" s="144" customFormat="1" x14ac:dyDescent="0.35">
      <c r="B84" s="144" t="s">
        <v>189</v>
      </c>
      <c r="C84" s="145">
        <v>910060152921002</v>
      </c>
      <c r="D84" s="144" t="s">
        <v>236</v>
      </c>
      <c r="E84" s="144" t="s">
        <v>75</v>
      </c>
      <c r="F84" s="146"/>
      <c r="H84" s="146">
        <v>46213</v>
      </c>
      <c r="I84" s="146">
        <f t="shared" si="8"/>
        <v>46221</v>
      </c>
      <c r="J84" s="146">
        <f t="shared" si="10"/>
        <v>46281</v>
      </c>
      <c r="T84" s="147" t="str">
        <f t="shared" ca="1" si="2"/>
        <v>33DAYS LEFT</v>
      </c>
      <c r="U84" s="144" t="str">
        <f t="shared" ca="1" si="3"/>
        <v>SEA TRANSIT</v>
      </c>
    </row>
    <row r="85" spans="2:21" s="144" customFormat="1" x14ac:dyDescent="0.35">
      <c r="B85" s="144" t="s">
        <v>189</v>
      </c>
      <c r="C85" s="145">
        <v>3.0217537059500099E+18</v>
      </c>
      <c r="D85" s="144" t="s">
        <v>62</v>
      </c>
      <c r="E85" s="144" t="s">
        <v>75</v>
      </c>
      <c r="F85" s="146"/>
      <c r="H85" s="146">
        <v>46213</v>
      </c>
      <c r="I85" s="146">
        <f t="shared" si="8"/>
        <v>46221</v>
      </c>
      <c r="J85" s="146">
        <f t="shared" si="10"/>
        <v>46281</v>
      </c>
      <c r="T85" s="147" t="str">
        <f t="shared" ca="1" si="2"/>
        <v>33DAYS LEFT</v>
      </c>
      <c r="U85" s="144" t="str">
        <f t="shared" ca="1" si="3"/>
        <v>SEA TRANSIT</v>
      </c>
    </row>
    <row r="86" spans="2:21" s="144" customFormat="1" x14ac:dyDescent="0.35">
      <c r="B86" s="144" t="s">
        <v>189</v>
      </c>
      <c r="C86" s="145">
        <v>773430712463445</v>
      </c>
      <c r="D86" s="144" t="s">
        <v>237</v>
      </c>
      <c r="E86" s="144" t="s">
        <v>75</v>
      </c>
      <c r="F86" s="146"/>
      <c r="H86" s="146">
        <v>46213</v>
      </c>
      <c r="I86" s="146">
        <f t="shared" si="8"/>
        <v>46221</v>
      </c>
      <c r="J86" s="146">
        <f t="shared" si="10"/>
        <v>46281</v>
      </c>
      <c r="T86" s="147" t="str">
        <f t="shared" ca="1" si="2"/>
        <v>33DAYS LEFT</v>
      </c>
      <c r="U86" s="144" t="str">
        <f t="shared" ca="1" si="3"/>
        <v>SEA TRANSIT</v>
      </c>
    </row>
    <row r="87" spans="2:21" s="144" customFormat="1" x14ac:dyDescent="0.35">
      <c r="B87" s="144" t="s">
        <v>183</v>
      </c>
      <c r="C87" s="145">
        <v>79017544162857</v>
      </c>
      <c r="D87" s="144" t="s">
        <v>238</v>
      </c>
      <c r="E87" s="144" t="s">
        <v>75</v>
      </c>
      <c r="F87" s="146"/>
      <c r="H87" s="146">
        <v>46213</v>
      </c>
      <c r="I87" s="146">
        <f t="shared" si="8"/>
        <v>46221</v>
      </c>
      <c r="J87" s="146">
        <f t="shared" si="10"/>
        <v>46281</v>
      </c>
      <c r="T87" s="147" t="str">
        <f t="shared" ca="1" si="2"/>
        <v>33DAYS LEFT</v>
      </c>
      <c r="U87" s="144" t="str">
        <f t="shared" ca="1" si="3"/>
        <v>SEA TRANSIT</v>
      </c>
    </row>
    <row r="88" spans="2:21" s="144" customFormat="1" x14ac:dyDescent="0.35">
      <c r="B88" s="144" t="s">
        <v>189</v>
      </c>
      <c r="C88" s="145">
        <v>773430713404978</v>
      </c>
      <c r="D88" s="144" t="s">
        <v>239</v>
      </c>
      <c r="E88" s="144" t="s">
        <v>75</v>
      </c>
      <c r="F88" s="146"/>
      <c r="H88" s="146">
        <v>46213</v>
      </c>
      <c r="I88" s="146">
        <f t="shared" si="8"/>
        <v>46221</v>
      </c>
      <c r="J88" s="146">
        <f t="shared" si="10"/>
        <v>46281</v>
      </c>
      <c r="T88" s="147" t="str">
        <f t="shared" ca="1" si="2"/>
        <v>33DAYS LEFT</v>
      </c>
      <c r="U88" s="144" t="str">
        <f t="shared" ca="1" si="3"/>
        <v>SEA TRANSIT</v>
      </c>
    </row>
    <row r="89" spans="2:21" s="144" customFormat="1" x14ac:dyDescent="0.35">
      <c r="B89" s="144" t="s">
        <v>214</v>
      </c>
      <c r="C89" s="145">
        <v>435261955850958</v>
      </c>
      <c r="D89" s="144" t="s">
        <v>240</v>
      </c>
      <c r="E89" s="144" t="s">
        <v>75</v>
      </c>
      <c r="F89" s="146"/>
      <c r="H89" s="146">
        <v>46213</v>
      </c>
      <c r="I89" s="146">
        <f t="shared" si="8"/>
        <v>46221</v>
      </c>
      <c r="J89" s="146">
        <f t="shared" si="10"/>
        <v>46281</v>
      </c>
      <c r="T89" s="147" t="str">
        <f t="shared" ca="1" si="2"/>
        <v>33DAYS LEFT</v>
      </c>
      <c r="U89" s="144" t="str">
        <f t="shared" ca="1" si="3"/>
        <v>SEA TRANSIT</v>
      </c>
    </row>
    <row r="90" spans="2:21" s="144" customFormat="1" x14ac:dyDescent="0.35">
      <c r="B90" s="144" t="s">
        <v>214</v>
      </c>
      <c r="C90" s="145">
        <v>435261957431887</v>
      </c>
      <c r="E90" s="144" t="s">
        <v>75</v>
      </c>
      <c r="F90" s="146"/>
      <c r="H90" s="146">
        <v>46213</v>
      </c>
      <c r="I90" s="146">
        <f t="shared" si="8"/>
        <v>46221</v>
      </c>
      <c r="J90" s="146">
        <f t="shared" si="10"/>
        <v>46281</v>
      </c>
      <c r="T90" s="147" t="str">
        <f t="shared" ca="1" si="2"/>
        <v>33DAYS LEFT</v>
      </c>
      <c r="U90" s="144" t="str">
        <f t="shared" ca="1" si="3"/>
        <v>SEA TRANSIT</v>
      </c>
    </row>
    <row r="91" spans="2:21" s="144" customFormat="1" x14ac:dyDescent="0.35">
      <c r="B91" s="144" t="s">
        <v>214</v>
      </c>
      <c r="C91" s="145">
        <v>435261962881947</v>
      </c>
      <c r="E91" s="144" t="s">
        <v>75</v>
      </c>
      <c r="F91" s="146"/>
      <c r="H91" s="146">
        <v>46213</v>
      </c>
      <c r="I91" s="146">
        <f t="shared" ref="I91:I104" si="11">H91+7+MOD(7-WEEKDAY(H91+7),7)</f>
        <v>46221</v>
      </c>
      <c r="J91" s="146">
        <f t="shared" si="10"/>
        <v>46281</v>
      </c>
      <c r="T91" s="147" t="str">
        <f t="shared" ca="1" si="2"/>
        <v>33DAYS LEFT</v>
      </c>
      <c r="U91" s="144" t="str">
        <f t="shared" ca="1" si="3"/>
        <v>SEA TRANSIT</v>
      </c>
    </row>
    <row r="92" spans="2:21" s="144" customFormat="1" x14ac:dyDescent="0.35">
      <c r="B92" s="144" t="s">
        <v>214</v>
      </c>
      <c r="C92" s="145">
        <v>435261958243877</v>
      </c>
      <c r="E92" s="144" t="s">
        <v>75</v>
      </c>
      <c r="F92" s="146"/>
      <c r="H92" s="146">
        <v>46213</v>
      </c>
      <c r="I92" s="146">
        <f t="shared" si="11"/>
        <v>46221</v>
      </c>
      <c r="J92" s="146">
        <f t="shared" si="10"/>
        <v>46281</v>
      </c>
      <c r="T92" s="147" t="str">
        <f t="shared" ca="1" si="2"/>
        <v>33DAYS LEFT</v>
      </c>
      <c r="U92" s="144" t="str">
        <f t="shared" ca="1" si="3"/>
        <v>SEA TRANSIT</v>
      </c>
    </row>
    <row r="93" spans="2:21" s="144" customFormat="1" x14ac:dyDescent="0.35">
      <c r="B93" s="144" t="s">
        <v>214</v>
      </c>
      <c r="C93" s="145">
        <v>435261954334898</v>
      </c>
      <c r="E93" s="144" t="s">
        <v>75</v>
      </c>
      <c r="F93" s="146"/>
      <c r="H93" s="146">
        <v>46213</v>
      </c>
      <c r="I93" s="146">
        <f t="shared" si="11"/>
        <v>46221</v>
      </c>
      <c r="J93" s="146">
        <f t="shared" si="10"/>
        <v>46281</v>
      </c>
      <c r="T93" s="147" t="str">
        <f t="shared" ca="1" si="2"/>
        <v>33DAYS LEFT</v>
      </c>
      <c r="U93" s="144" t="str">
        <f t="shared" ca="1" si="3"/>
        <v>SEA TRANSIT</v>
      </c>
    </row>
    <row r="94" spans="2:21" s="144" customFormat="1" x14ac:dyDescent="0.35">
      <c r="B94" s="144" t="s">
        <v>160</v>
      </c>
      <c r="C94" s="145">
        <v>435262569319995</v>
      </c>
      <c r="D94" s="144" t="s">
        <v>242</v>
      </c>
      <c r="E94" s="144" t="s">
        <v>75</v>
      </c>
      <c r="F94" s="146"/>
      <c r="H94" s="146">
        <v>46213</v>
      </c>
      <c r="I94" s="146">
        <f t="shared" si="11"/>
        <v>46221</v>
      </c>
      <c r="J94" s="146">
        <f t="shared" si="10"/>
        <v>46281</v>
      </c>
      <c r="T94" s="147" t="str">
        <f t="shared" ca="1" si="2"/>
        <v>33DAYS LEFT</v>
      </c>
      <c r="U94" s="144" t="str">
        <f t="shared" ca="1" si="3"/>
        <v>SEA TRANSIT</v>
      </c>
    </row>
    <row r="95" spans="2:21" s="144" customFormat="1" x14ac:dyDescent="0.35">
      <c r="B95" s="144" t="s">
        <v>241</v>
      </c>
      <c r="C95" s="145">
        <v>7.73430308222124E+16</v>
      </c>
      <c r="D95" s="144" t="s">
        <v>243</v>
      </c>
      <c r="E95" s="144" t="s">
        <v>75</v>
      </c>
      <c r="F95" s="146"/>
      <c r="H95" s="146">
        <v>46213</v>
      </c>
      <c r="I95" s="146">
        <f t="shared" si="11"/>
        <v>46221</v>
      </c>
      <c r="J95" s="146">
        <f t="shared" si="10"/>
        <v>46281</v>
      </c>
      <c r="T95" s="147" t="str">
        <f t="shared" ca="1" si="2"/>
        <v>33DAYS LEFT</v>
      </c>
      <c r="U95" s="144" t="str">
        <f t="shared" ca="1" si="3"/>
        <v>SEA TRANSIT</v>
      </c>
    </row>
    <row r="96" spans="2:21" s="157" customFormat="1" x14ac:dyDescent="0.35">
      <c r="B96" s="157" t="s">
        <v>34</v>
      </c>
      <c r="C96" s="158" t="s">
        <v>246</v>
      </c>
      <c r="D96" s="157" t="s">
        <v>248</v>
      </c>
      <c r="E96" s="157" t="s">
        <v>75</v>
      </c>
      <c r="F96" s="159"/>
      <c r="H96" s="159">
        <v>46214</v>
      </c>
      <c r="I96" s="159">
        <f t="shared" si="11"/>
        <v>46221</v>
      </c>
      <c r="J96" s="159">
        <f t="shared" si="10"/>
        <v>46281</v>
      </c>
      <c r="T96" s="160" t="str">
        <f t="shared" ca="1" si="2"/>
        <v>33DAYS LEFT</v>
      </c>
      <c r="U96" s="157" t="str">
        <f t="shared" ca="1" si="3"/>
        <v>SEA TRANSIT</v>
      </c>
    </row>
    <row r="97" spans="2:21" s="157" customFormat="1" x14ac:dyDescent="0.35">
      <c r="B97" s="157" t="s">
        <v>34</v>
      </c>
      <c r="C97" s="158" t="s">
        <v>247</v>
      </c>
      <c r="D97" s="157" t="s">
        <v>249</v>
      </c>
      <c r="E97" s="157" t="s">
        <v>75</v>
      </c>
      <c r="F97" s="159"/>
      <c r="H97" s="159">
        <v>46214</v>
      </c>
      <c r="I97" s="159">
        <f t="shared" si="11"/>
        <v>46221</v>
      </c>
      <c r="J97" s="159">
        <f t="shared" si="10"/>
        <v>46281</v>
      </c>
      <c r="T97" s="160" t="str">
        <f t="shared" ca="1" si="2"/>
        <v>33DAYS LEFT</v>
      </c>
      <c r="U97" s="157" t="str">
        <f t="shared" ca="1" si="3"/>
        <v>SEA TRANSIT</v>
      </c>
    </row>
    <row r="98" spans="2:21" s="157" customFormat="1" x14ac:dyDescent="0.35">
      <c r="B98" s="157" t="s">
        <v>214</v>
      </c>
      <c r="C98" s="158">
        <v>773430711826073</v>
      </c>
      <c r="D98" s="157" t="s">
        <v>62</v>
      </c>
      <c r="E98" s="157" t="s">
        <v>75</v>
      </c>
      <c r="F98" s="159"/>
      <c r="H98" s="159">
        <v>46214</v>
      </c>
      <c r="I98" s="159">
        <f t="shared" si="11"/>
        <v>46221</v>
      </c>
      <c r="J98" s="159">
        <f t="shared" si="10"/>
        <v>46281</v>
      </c>
      <c r="T98" s="160" t="str">
        <f t="shared" ca="1" si="2"/>
        <v>33DAYS LEFT</v>
      </c>
      <c r="U98" s="157" t="str">
        <f t="shared" ca="1" si="3"/>
        <v>SEA TRANSIT</v>
      </c>
    </row>
    <row r="99" spans="2:21" s="157" customFormat="1" x14ac:dyDescent="0.35">
      <c r="B99" s="157" t="s">
        <v>34</v>
      </c>
      <c r="C99" s="158">
        <v>777425340952730</v>
      </c>
      <c r="E99" s="157" t="s">
        <v>75</v>
      </c>
      <c r="F99" s="159"/>
      <c r="H99" s="159">
        <v>46214</v>
      </c>
      <c r="I99" s="159">
        <f t="shared" si="11"/>
        <v>46221</v>
      </c>
      <c r="J99" s="159">
        <f t="shared" si="10"/>
        <v>46281</v>
      </c>
      <c r="T99" s="160" t="str">
        <f t="shared" ca="1" si="2"/>
        <v>33DAYS LEFT</v>
      </c>
      <c r="U99" s="157" t="str">
        <f t="shared" ca="1" si="3"/>
        <v>SEA TRANSIT</v>
      </c>
    </row>
    <row r="100" spans="2:21" s="157" customFormat="1" x14ac:dyDescent="0.35">
      <c r="B100" s="157" t="s">
        <v>34</v>
      </c>
      <c r="C100" s="158">
        <v>9817916027651</v>
      </c>
      <c r="E100" s="157" t="s">
        <v>75</v>
      </c>
      <c r="F100" s="159"/>
      <c r="H100" s="159">
        <v>46214</v>
      </c>
      <c r="I100" s="159">
        <f t="shared" si="11"/>
        <v>46221</v>
      </c>
      <c r="J100" s="159">
        <f t="shared" si="10"/>
        <v>46281</v>
      </c>
      <c r="T100" s="160" t="str">
        <f t="shared" ca="1" si="2"/>
        <v>33DAYS LEFT</v>
      </c>
      <c r="U100" s="157" t="str">
        <f t="shared" ca="1" si="3"/>
        <v>SEA TRANSIT</v>
      </c>
    </row>
    <row r="101" spans="2:21" s="157" customFormat="1" x14ac:dyDescent="0.35">
      <c r="B101" s="157" t="s">
        <v>183</v>
      </c>
      <c r="C101" s="158" t="s">
        <v>251</v>
      </c>
      <c r="E101" s="157" t="s">
        <v>75</v>
      </c>
      <c r="F101" s="159"/>
      <c r="H101" s="159">
        <v>46214</v>
      </c>
      <c r="I101" s="159">
        <f t="shared" si="11"/>
        <v>46221</v>
      </c>
      <c r="J101" s="159">
        <f t="shared" si="10"/>
        <v>46281</v>
      </c>
      <c r="T101" s="160" t="str">
        <f t="shared" ca="1" si="2"/>
        <v>33DAYS LEFT</v>
      </c>
      <c r="U101" s="157" t="str">
        <f t="shared" ca="1" si="3"/>
        <v>SEA TRANSIT</v>
      </c>
    </row>
    <row r="102" spans="2:21" s="157" customFormat="1" x14ac:dyDescent="0.35">
      <c r="B102" s="157" t="s">
        <v>252</v>
      </c>
      <c r="C102" s="158">
        <v>999057421909</v>
      </c>
      <c r="E102" s="157" t="s">
        <v>75</v>
      </c>
      <c r="F102" s="159"/>
      <c r="H102" s="159">
        <v>46214</v>
      </c>
      <c r="I102" s="159">
        <f t="shared" si="11"/>
        <v>46221</v>
      </c>
      <c r="J102" s="159">
        <f t="shared" si="10"/>
        <v>46281</v>
      </c>
      <c r="T102" s="160" t="str">
        <f t="shared" ca="1" si="2"/>
        <v>33DAYS LEFT</v>
      </c>
      <c r="U102" s="157" t="str">
        <f t="shared" ca="1" si="3"/>
        <v>SEA TRANSIT</v>
      </c>
    </row>
    <row r="103" spans="2:21" s="157" customFormat="1" x14ac:dyDescent="0.35">
      <c r="B103" s="157" t="s">
        <v>252</v>
      </c>
      <c r="C103" s="158" t="s">
        <v>253</v>
      </c>
      <c r="E103" s="157" t="s">
        <v>75</v>
      </c>
      <c r="F103" s="159"/>
      <c r="H103" s="159">
        <v>46214</v>
      </c>
      <c r="I103" s="159">
        <f t="shared" si="11"/>
        <v>46221</v>
      </c>
      <c r="J103" s="159">
        <f t="shared" si="10"/>
        <v>46281</v>
      </c>
      <c r="T103" s="160" t="str">
        <f t="shared" ca="1" si="2"/>
        <v>33DAYS LEFT</v>
      </c>
      <c r="U103" s="157" t="str">
        <f t="shared" ca="1" si="3"/>
        <v>SEA TRANSIT</v>
      </c>
    </row>
    <row r="104" spans="2:21" s="157" customFormat="1" x14ac:dyDescent="0.35">
      <c r="B104" s="157" t="s">
        <v>252</v>
      </c>
      <c r="C104" s="158">
        <v>435244515208841</v>
      </c>
      <c r="E104" s="157" t="s">
        <v>75</v>
      </c>
      <c r="F104" s="159"/>
      <c r="H104" s="159">
        <v>46214</v>
      </c>
      <c r="I104" s="159">
        <f t="shared" si="11"/>
        <v>46221</v>
      </c>
      <c r="J104" s="159">
        <f t="shared" si="10"/>
        <v>46281</v>
      </c>
      <c r="T104" s="160" t="str">
        <f t="shared" ca="1" si="2"/>
        <v>33DAYS LEFT</v>
      </c>
      <c r="U104" s="157" t="str">
        <f t="shared" ca="1" si="3"/>
        <v>SEA TRANSIT</v>
      </c>
    </row>
    <row r="105" spans="2:21" s="157" customFormat="1" ht="21" customHeight="1" x14ac:dyDescent="0.35">
      <c r="B105" s="157" t="s">
        <v>183</v>
      </c>
      <c r="C105" s="158">
        <v>79017864737477</v>
      </c>
      <c r="E105" s="157" t="s">
        <v>75</v>
      </c>
      <c r="F105" s="159"/>
      <c r="H105" s="159">
        <v>46214</v>
      </c>
      <c r="I105" s="159">
        <f t="shared" ref="I105:I107" si="12">H105+7+MOD(7-WEEKDAY(H105+7),7)</f>
        <v>46221</v>
      </c>
      <c r="J105" s="159">
        <f t="shared" ref="J105:J123" si="13">I105+60</f>
        <v>46281</v>
      </c>
      <c r="T105" s="160" t="str">
        <f t="shared" ca="1" si="2"/>
        <v>33DAYS LEFT</v>
      </c>
      <c r="U105" s="157" t="str">
        <f t="shared" ca="1" si="3"/>
        <v>SEA TRANSIT</v>
      </c>
    </row>
    <row r="106" spans="2:21" s="157" customFormat="1" x14ac:dyDescent="0.35">
      <c r="B106" s="157" t="s">
        <v>183</v>
      </c>
      <c r="C106" s="158">
        <v>79017464359289</v>
      </c>
      <c r="E106" s="157" t="s">
        <v>75</v>
      </c>
      <c r="F106" s="159"/>
      <c r="H106" s="159">
        <v>46214</v>
      </c>
      <c r="I106" s="159">
        <f t="shared" si="12"/>
        <v>46221</v>
      </c>
      <c r="J106" s="159">
        <f t="shared" si="13"/>
        <v>46281</v>
      </c>
      <c r="T106" s="160" t="str">
        <f t="shared" ca="1" si="2"/>
        <v>33DAYS LEFT</v>
      </c>
      <c r="U106" s="157" t="str">
        <f t="shared" ca="1" si="3"/>
        <v>SEA TRANSIT</v>
      </c>
    </row>
    <row r="107" spans="2:21" s="157" customFormat="1" x14ac:dyDescent="0.35">
      <c r="B107" s="157" t="s">
        <v>214</v>
      </c>
      <c r="C107" s="158">
        <v>435263499489129</v>
      </c>
      <c r="E107" s="157" t="s">
        <v>75</v>
      </c>
      <c r="F107" s="159"/>
      <c r="H107" s="159">
        <v>46214</v>
      </c>
      <c r="I107" s="159">
        <f t="shared" si="12"/>
        <v>46221</v>
      </c>
      <c r="J107" s="159">
        <f t="shared" si="13"/>
        <v>46281</v>
      </c>
      <c r="T107" s="160" t="str">
        <f t="shared" ca="1" si="2"/>
        <v>33DAYS LEFT</v>
      </c>
      <c r="U107" s="157" t="str">
        <f t="shared" ca="1" si="3"/>
        <v>SEA TRANSIT</v>
      </c>
    </row>
    <row r="108" spans="2:21" s="157" customFormat="1" x14ac:dyDescent="0.35">
      <c r="B108" s="157" t="s">
        <v>214</v>
      </c>
      <c r="C108" s="158">
        <v>800208291122</v>
      </c>
      <c r="E108" s="157" t="s">
        <v>75</v>
      </c>
      <c r="F108" s="159"/>
      <c r="H108" s="159">
        <v>46214</v>
      </c>
      <c r="I108" s="159">
        <f>H108+7+MOD(7-WEEKDAY(H108+7),7)</f>
        <v>46221</v>
      </c>
      <c r="J108" s="159">
        <f t="shared" si="13"/>
        <v>46281</v>
      </c>
      <c r="T108" s="160" t="str">
        <f t="shared" ca="1" si="2"/>
        <v>33DAYS LEFT</v>
      </c>
      <c r="U108" s="157" t="str">
        <f t="shared" ca="1" si="3"/>
        <v>SEA TRANSIT</v>
      </c>
    </row>
    <row r="109" spans="2:21" s="140" customFormat="1" x14ac:dyDescent="0.35">
      <c r="B109" s="140" t="s">
        <v>186</v>
      </c>
      <c r="C109" s="141" t="s">
        <v>254</v>
      </c>
      <c r="E109" s="140" t="s">
        <v>75</v>
      </c>
      <c r="F109" s="142"/>
      <c r="H109" s="142">
        <v>46216</v>
      </c>
      <c r="I109" s="142">
        <f>H109+7+MOD(7-WEEKDAY(H109+7),7)</f>
        <v>46228</v>
      </c>
      <c r="J109" s="142">
        <f t="shared" si="13"/>
        <v>46288</v>
      </c>
      <c r="T109" s="160" t="str">
        <f t="shared" ca="1" si="2"/>
        <v>40DAYS LEFT</v>
      </c>
      <c r="U109" s="157" t="str">
        <f t="shared" ca="1" si="3"/>
        <v>SEA TRANSIT</v>
      </c>
    </row>
    <row r="110" spans="2:21" s="140" customFormat="1" x14ac:dyDescent="0.35">
      <c r="B110" s="140" t="s">
        <v>186</v>
      </c>
      <c r="C110" s="141"/>
      <c r="D110" s="140" t="s">
        <v>89</v>
      </c>
      <c r="E110" s="140" t="s">
        <v>75</v>
      </c>
      <c r="F110" s="142"/>
      <c r="H110" s="142">
        <v>46216</v>
      </c>
      <c r="I110" s="142">
        <f t="shared" ref="I110:I123" si="14">H110+7+MOD(7-WEEKDAY(H110+7),7)</f>
        <v>46228</v>
      </c>
      <c r="J110" s="142">
        <f t="shared" si="13"/>
        <v>46288</v>
      </c>
      <c r="T110" s="160" t="str">
        <f t="shared" ca="1" si="2"/>
        <v>40DAYS LEFT</v>
      </c>
      <c r="U110" s="157" t="str">
        <f t="shared" ref="U110:U180" ca="1" si="15">IF(TODAY()&gt;J110+MOD(4-WEEKDAY(J110),7),"DELIVERED AT WAREHOUSE",IF(J110-TODAY()&gt;45,"ORIGIN(CHINA)",IF(J110-TODAY()&gt;15,"SEA TRANSIT","CUSTOM CLEARANCE/PORT")))</f>
        <v>SEA TRANSIT</v>
      </c>
    </row>
    <row r="111" spans="2:21" s="140" customFormat="1" x14ac:dyDescent="0.35">
      <c r="B111" s="140" t="s">
        <v>186</v>
      </c>
      <c r="C111" s="141">
        <v>79018040492786</v>
      </c>
      <c r="E111" s="140" t="s">
        <v>75</v>
      </c>
      <c r="F111" s="142"/>
      <c r="H111" s="142">
        <v>46216</v>
      </c>
      <c r="I111" s="142">
        <f t="shared" si="14"/>
        <v>46228</v>
      </c>
      <c r="J111" s="142">
        <f t="shared" si="13"/>
        <v>46288</v>
      </c>
      <c r="T111" s="160" t="str">
        <f t="shared" ref="T111:T180" ca="1" si="16">IF(J111&lt;TODAY(),"ARRIVED",IF(J111-TODAY()&lt;=7,"ARRIVING SOON",J111-TODAY()&amp;"DAYS LEFT"))</f>
        <v>40DAYS LEFT</v>
      </c>
      <c r="U111" s="157" t="str">
        <f t="shared" ca="1" si="15"/>
        <v>SEA TRANSIT</v>
      </c>
    </row>
    <row r="112" spans="2:21" s="140" customFormat="1" x14ac:dyDescent="0.35">
      <c r="B112" s="140" t="s">
        <v>186</v>
      </c>
      <c r="C112" s="141">
        <v>7901782072490</v>
      </c>
      <c r="E112" s="140" t="s">
        <v>75</v>
      </c>
      <c r="F112" s="142"/>
      <c r="H112" s="142">
        <v>46216</v>
      </c>
      <c r="I112" s="142">
        <f t="shared" si="14"/>
        <v>46228</v>
      </c>
      <c r="J112" s="142">
        <f t="shared" si="13"/>
        <v>46288</v>
      </c>
      <c r="T112" s="160" t="str">
        <f t="shared" ca="1" si="16"/>
        <v>40DAYS LEFT</v>
      </c>
      <c r="U112" s="157" t="str">
        <f t="shared" ca="1" si="15"/>
        <v>SEA TRANSIT</v>
      </c>
    </row>
    <row r="113" spans="2:21" s="140" customFormat="1" x14ac:dyDescent="0.35">
      <c r="B113" s="140" t="s">
        <v>252</v>
      </c>
      <c r="C113" s="141">
        <v>77742565728218</v>
      </c>
      <c r="D113" s="140" t="s">
        <v>255</v>
      </c>
      <c r="E113" s="140" t="s">
        <v>75</v>
      </c>
      <c r="F113" s="142"/>
      <c r="H113" s="142">
        <v>46216</v>
      </c>
      <c r="I113" s="142">
        <f t="shared" si="14"/>
        <v>46228</v>
      </c>
      <c r="J113" s="142">
        <f t="shared" si="13"/>
        <v>46288</v>
      </c>
      <c r="T113" s="160" t="str">
        <f t="shared" ca="1" si="16"/>
        <v>40DAYS LEFT</v>
      </c>
      <c r="U113" s="157" t="str">
        <f t="shared" ca="1" si="15"/>
        <v>SEA TRANSIT</v>
      </c>
    </row>
    <row r="114" spans="2:21" s="140" customFormat="1" x14ac:dyDescent="0.35">
      <c r="B114" s="140" t="s">
        <v>204</v>
      </c>
      <c r="C114" s="141"/>
      <c r="D114" s="140" t="s">
        <v>256</v>
      </c>
      <c r="E114" s="140" t="s">
        <v>75</v>
      </c>
      <c r="F114" s="142"/>
      <c r="H114" s="142">
        <v>46216</v>
      </c>
      <c r="I114" s="142">
        <f t="shared" si="14"/>
        <v>46228</v>
      </c>
      <c r="J114" s="142">
        <f t="shared" si="13"/>
        <v>46288</v>
      </c>
      <c r="T114" s="160" t="str">
        <f t="shared" ca="1" si="16"/>
        <v>40DAYS LEFT</v>
      </c>
      <c r="U114" s="157" t="str">
        <f t="shared" ca="1" si="15"/>
        <v>SEA TRANSIT</v>
      </c>
    </row>
    <row r="115" spans="2:21" s="140" customFormat="1" x14ac:dyDescent="0.35">
      <c r="B115" s="140" t="s">
        <v>214</v>
      </c>
      <c r="C115" s="141">
        <v>79017759007965</v>
      </c>
      <c r="E115" s="140" t="s">
        <v>75</v>
      </c>
      <c r="F115" s="142"/>
      <c r="H115" s="142">
        <v>46216</v>
      </c>
      <c r="I115" s="142">
        <f t="shared" si="14"/>
        <v>46228</v>
      </c>
      <c r="J115" s="142">
        <f t="shared" si="13"/>
        <v>46288</v>
      </c>
      <c r="T115" s="160" t="str">
        <f t="shared" ca="1" si="16"/>
        <v>40DAYS LEFT</v>
      </c>
      <c r="U115" s="157" t="str">
        <f t="shared" ca="1" si="15"/>
        <v>SEA TRANSIT</v>
      </c>
    </row>
    <row r="116" spans="2:21" s="140" customFormat="1" x14ac:dyDescent="0.35">
      <c r="B116" s="140" t="s">
        <v>186</v>
      </c>
      <c r="C116" s="141">
        <v>773430935028800</v>
      </c>
      <c r="D116" s="140" t="s">
        <v>257</v>
      </c>
      <c r="E116" s="140" t="s">
        <v>75</v>
      </c>
      <c r="F116" s="142"/>
      <c r="H116" s="142">
        <v>46216</v>
      </c>
      <c r="I116" s="142">
        <f t="shared" si="14"/>
        <v>46228</v>
      </c>
      <c r="J116" s="142">
        <f t="shared" si="13"/>
        <v>46288</v>
      </c>
      <c r="T116" s="160" t="str">
        <f t="shared" ca="1" si="16"/>
        <v>40DAYS LEFT</v>
      </c>
      <c r="U116" s="157" t="str">
        <f t="shared" ca="1" si="15"/>
        <v>SEA TRANSIT</v>
      </c>
    </row>
    <row r="117" spans="2:21" s="140" customFormat="1" x14ac:dyDescent="0.35">
      <c r="B117" s="140" t="s">
        <v>189</v>
      </c>
      <c r="C117" s="141">
        <v>79017975322526</v>
      </c>
      <c r="D117" s="140" t="s">
        <v>258</v>
      </c>
      <c r="E117" s="140" t="s">
        <v>75</v>
      </c>
      <c r="F117" s="142"/>
      <c r="H117" s="142">
        <v>46216</v>
      </c>
      <c r="I117" s="142">
        <f t="shared" si="14"/>
        <v>46228</v>
      </c>
      <c r="J117" s="142">
        <f t="shared" si="13"/>
        <v>46288</v>
      </c>
      <c r="T117" s="160" t="str">
        <f t="shared" ca="1" si="16"/>
        <v>40DAYS LEFT</v>
      </c>
      <c r="U117" s="157" t="str">
        <f t="shared" ca="1" si="15"/>
        <v>SEA TRANSIT</v>
      </c>
    </row>
    <row r="118" spans="2:21" s="140" customFormat="1" x14ac:dyDescent="0.35">
      <c r="B118" s="140" t="s">
        <v>259</v>
      </c>
      <c r="C118" s="141">
        <v>73716851816871</v>
      </c>
      <c r="E118" s="140" t="s">
        <v>75</v>
      </c>
      <c r="F118" s="142"/>
      <c r="H118" s="142">
        <v>46216</v>
      </c>
      <c r="I118" s="142">
        <f t="shared" si="14"/>
        <v>46228</v>
      </c>
      <c r="J118" s="142">
        <f t="shared" si="13"/>
        <v>46288</v>
      </c>
      <c r="T118" s="160" t="str">
        <f t="shared" ca="1" si="16"/>
        <v>40DAYS LEFT</v>
      </c>
      <c r="U118" s="157" t="str">
        <f t="shared" ca="1" si="15"/>
        <v>SEA TRANSIT</v>
      </c>
    </row>
    <row r="119" spans="2:21" s="140" customFormat="1" x14ac:dyDescent="0.35">
      <c r="B119" s="140" t="s">
        <v>260</v>
      </c>
      <c r="C119" s="141">
        <v>79018093471471</v>
      </c>
      <c r="E119" s="140" t="s">
        <v>75</v>
      </c>
      <c r="F119" s="142"/>
      <c r="H119" s="142">
        <v>46216</v>
      </c>
      <c r="I119" s="142">
        <f t="shared" si="14"/>
        <v>46228</v>
      </c>
      <c r="J119" s="142">
        <f t="shared" si="13"/>
        <v>46288</v>
      </c>
      <c r="T119" s="160" t="str">
        <f t="shared" ca="1" si="16"/>
        <v>40DAYS LEFT</v>
      </c>
      <c r="U119" s="157" t="str">
        <f t="shared" ca="1" si="15"/>
        <v>SEA TRANSIT</v>
      </c>
    </row>
    <row r="120" spans="2:21" s="140" customFormat="1" x14ac:dyDescent="0.35">
      <c r="B120" s="140" t="s">
        <v>85</v>
      </c>
      <c r="C120" s="141">
        <v>777425992467389</v>
      </c>
      <c r="D120" s="140" t="s">
        <v>261</v>
      </c>
      <c r="E120" s="140" t="s">
        <v>75</v>
      </c>
      <c r="F120" s="142"/>
      <c r="H120" s="142">
        <v>46216</v>
      </c>
      <c r="I120" s="142">
        <f t="shared" si="14"/>
        <v>46228</v>
      </c>
      <c r="J120" s="142">
        <f t="shared" si="13"/>
        <v>46288</v>
      </c>
      <c r="T120" s="160" t="str">
        <f t="shared" ca="1" si="16"/>
        <v>40DAYS LEFT</v>
      </c>
      <c r="U120" s="157" t="str">
        <f t="shared" ca="1" si="15"/>
        <v>SEA TRANSIT</v>
      </c>
    </row>
    <row r="121" spans="2:21" s="140" customFormat="1" x14ac:dyDescent="0.35">
      <c r="B121" s="140" t="s">
        <v>214</v>
      </c>
      <c r="C121" s="141">
        <v>710091903623</v>
      </c>
      <c r="D121" s="140" t="s">
        <v>47</v>
      </c>
      <c r="E121" s="140" t="s">
        <v>75</v>
      </c>
      <c r="F121" s="142"/>
      <c r="H121" s="142">
        <v>46216</v>
      </c>
      <c r="I121" s="142">
        <f t="shared" si="14"/>
        <v>46228</v>
      </c>
      <c r="J121" s="142">
        <f t="shared" si="13"/>
        <v>46288</v>
      </c>
      <c r="T121" s="160" t="str">
        <f t="shared" ca="1" si="16"/>
        <v>40DAYS LEFT</v>
      </c>
      <c r="U121" s="157" t="str">
        <f t="shared" ca="1" si="15"/>
        <v>SEA TRANSIT</v>
      </c>
    </row>
    <row r="122" spans="2:21" s="140" customFormat="1" x14ac:dyDescent="0.35">
      <c r="B122" s="140" t="s">
        <v>204</v>
      </c>
      <c r="C122" s="141" t="s">
        <v>262</v>
      </c>
      <c r="D122" s="140" t="s">
        <v>208</v>
      </c>
      <c r="E122" s="140" t="s">
        <v>75</v>
      </c>
      <c r="F122" s="142"/>
      <c r="H122" s="142">
        <v>46216</v>
      </c>
      <c r="I122" s="142">
        <f t="shared" si="14"/>
        <v>46228</v>
      </c>
      <c r="J122" s="142">
        <f t="shared" si="13"/>
        <v>46288</v>
      </c>
      <c r="T122" s="160" t="str">
        <f t="shared" ca="1" si="16"/>
        <v>40DAYS LEFT</v>
      </c>
      <c r="U122" s="157" t="str">
        <f t="shared" ca="1" si="15"/>
        <v>SEA TRANSIT</v>
      </c>
    </row>
    <row r="123" spans="2:21" s="140" customFormat="1" x14ac:dyDescent="0.35">
      <c r="B123" s="140" t="s">
        <v>186</v>
      </c>
      <c r="C123" s="141">
        <v>79017828960820</v>
      </c>
      <c r="D123" s="140" t="s">
        <v>261</v>
      </c>
      <c r="E123" s="140" t="s">
        <v>75</v>
      </c>
      <c r="F123" s="142"/>
      <c r="H123" s="142">
        <v>46216</v>
      </c>
      <c r="I123" s="142">
        <f t="shared" si="14"/>
        <v>46228</v>
      </c>
      <c r="J123" s="142">
        <f t="shared" si="13"/>
        <v>46288</v>
      </c>
      <c r="T123" s="160" t="str">
        <f t="shared" ca="1" si="16"/>
        <v>40DAYS LEFT</v>
      </c>
      <c r="U123" s="157" t="str">
        <f t="shared" ca="1" si="15"/>
        <v>SEA TRANSIT</v>
      </c>
    </row>
    <row r="124" spans="2:21" s="140" customFormat="1" x14ac:dyDescent="0.35">
      <c r="B124" s="140" t="s">
        <v>214</v>
      </c>
      <c r="C124" s="141">
        <v>8125473169211</v>
      </c>
      <c r="D124" s="140" t="s">
        <v>263</v>
      </c>
      <c r="E124" s="140" t="s">
        <v>75</v>
      </c>
      <c r="F124" s="142"/>
      <c r="H124" s="142">
        <v>46216</v>
      </c>
      <c r="I124" s="142">
        <f>H124+7+MOD(7-WEEKDAY(H124+7),7)</f>
        <v>46228</v>
      </c>
      <c r="J124" s="142">
        <f>I124+60</f>
        <v>46288</v>
      </c>
      <c r="T124" s="160" t="str">
        <f t="shared" ca="1" si="16"/>
        <v>40DAYS LEFT</v>
      </c>
      <c r="U124" s="157" t="str">
        <f t="shared" ca="1" si="15"/>
        <v>SEA TRANSIT</v>
      </c>
    </row>
    <row r="125" spans="2:21" s="140" customFormat="1" x14ac:dyDescent="0.35">
      <c r="B125" s="140" t="s">
        <v>204</v>
      </c>
      <c r="C125" s="141">
        <v>79017957913939</v>
      </c>
      <c r="D125" s="140" t="s">
        <v>264</v>
      </c>
      <c r="E125" s="140" t="s">
        <v>75</v>
      </c>
      <c r="F125" s="142"/>
      <c r="H125" s="142">
        <v>46216</v>
      </c>
      <c r="I125" s="142">
        <f>H125+7+MOD(7-WEEKDAY(H125+7),7)</f>
        <v>46228</v>
      </c>
      <c r="J125" s="142">
        <f>I125+60</f>
        <v>46288</v>
      </c>
      <c r="T125" s="160" t="str">
        <f t="shared" ca="1" si="16"/>
        <v>40DAYS LEFT</v>
      </c>
      <c r="U125" s="157" t="str">
        <f t="shared" ca="1" si="15"/>
        <v>SEA TRANSIT</v>
      </c>
    </row>
    <row r="126" spans="2:21" s="140" customFormat="1" x14ac:dyDescent="0.35">
      <c r="B126" s="140" t="s">
        <v>204</v>
      </c>
      <c r="C126" s="141">
        <v>773431214457555</v>
      </c>
      <c r="E126" s="140" t="s">
        <v>75</v>
      </c>
      <c r="F126" s="142"/>
      <c r="H126" s="142">
        <v>46216</v>
      </c>
      <c r="I126" s="142">
        <f>H126+7+MOD(7-WEEKDAY(H126+7),7)</f>
        <v>46228</v>
      </c>
      <c r="J126" s="142">
        <f>I126+60</f>
        <v>46288</v>
      </c>
      <c r="T126" s="160" t="str">
        <f t="shared" ca="1" si="16"/>
        <v>40DAYS LEFT</v>
      </c>
      <c r="U126" s="157" t="str">
        <f t="shared" ca="1" si="15"/>
        <v>SEA TRANSIT</v>
      </c>
    </row>
    <row r="127" spans="2:21" s="140" customFormat="1" x14ac:dyDescent="0.35">
      <c r="B127" s="140" t="s">
        <v>204</v>
      </c>
      <c r="C127" s="141">
        <v>435265230526935</v>
      </c>
      <c r="D127" s="140" t="s">
        <v>265</v>
      </c>
      <c r="E127" s="140" t="s">
        <v>75</v>
      </c>
      <c r="F127" s="142"/>
      <c r="H127" s="142">
        <v>46216</v>
      </c>
      <c r="I127" s="142">
        <f>H127+7+MOD(7-WEEKDAY(H127+7),7)</f>
        <v>46228</v>
      </c>
      <c r="J127" s="142">
        <f>I127+60</f>
        <v>46288</v>
      </c>
      <c r="T127" s="160" t="str">
        <f t="shared" ca="1" si="16"/>
        <v>40DAYS LEFT</v>
      </c>
      <c r="U127" s="157" t="str">
        <f t="shared" ca="1" si="15"/>
        <v>SEA TRANSIT</v>
      </c>
    </row>
    <row r="128" spans="2:21" s="140" customFormat="1" x14ac:dyDescent="0.35">
      <c r="B128" s="140" t="s">
        <v>186</v>
      </c>
      <c r="C128" s="141">
        <v>79017735665000</v>
      </c>
      <c r="D128" s="140" t="s">
        <v>266</v>
      </c>
      <c r="E128" s="140" t="s">
        <v>75</v>
      </c>
      <c r="F128" s="142"/>
      <c r="H128" s="142">
        <v>46216</v>
      </c>
      <c r="I128" s="142">
        <f t="shared" ref="I128:I134" si="17">H128+7+MOD(7-WEEKDAY(H128+7),7)</f>
        <v>46228</v>
      </c>
      <c r="J128" s="142">
        <f t="shared" ref="J128:J134" si="18">I128+60</f>
        <v>46288</v>
      </c>
      <c r="T128" s="160" t="str">
        <f t="shared" ca="1" si="16"/>
        <v>40DAYS LEFT</v>
      </c>
      <c r="U128" s="157" t="str">
        <f t="shared" ca="1" si="15"/>
        <v>SEA TRANSIT</v>
      </c>
    </row>
    <row r="129" spans="2:21" s="140" customFormat="1" x14ac:dyDescent="0.35">
      <c r="B129" s="140" t="s">
        <v>260</v>
      </c>
      <c r="C129" s="141">
        <v>79018080823028</v>
      </c>
      <c r="D129" s="140" t="s">
        <v>267</v>
      </c>
      <c r="E129" s="140" t="s">
        <v>75</v>
      </c>
      <c r="F129" s="142"/>
      <c r="H129" s="142">
        <v>46216</v>
      </c>
      <c r="I129" s="142">
        <f t="shared" si="17"/>
        <v>46228</v>
      </c>
      <c r="J129" s="142">
        <f t="shared" si="18"/>
        <v>46288</v>
      </c>
      <c r="T129" s="160" t="str">
        <f t="shared" ca="1" si="16"/>
        <v>40DAYS LEFT</v>
      </c>
      <c r="U129" s="157" t="str">
        <f t="shared" ca="1" si="15"/>
        <v>SEA TRANSIT</v>
      </c>
    </row>
    <row r="130" spans="2:21" s="140" customFormat="1" x14ac:dyDescent="0.35">
      <c r="B130" s="140" t="s">
        <v>268</v>
      </c>
      <c r="C130" s="141">
        <v>7360052495364</v>
      </c>
      <c r="D130" s="140" t="s">
        <v>62</v>
      </c>
      <c r="E130" s="140" t="s">
        <v>75</v>
      </c>
      <c r="F130" s="142"/>
      <c r="H130" s="142">
        <v>46216</v>
      </c>
      <c r="I130" s="142">
        <f t="shared" si="17"/>
        <v>46228</v>
      </c>
      <c r="J130" s="142">
        <f t="shared" si="18"/>
        <v>46288</v>
      </c>
      <c r="T130" s="160" t="str">
        <f t="shared" ca="1" si="16"/>
        <v>40DAYS LEFT</v>
      </c>
      <c r="U130" s="157" t="str">
        <f t="shared" ca="1" si="15"/>
        <v>SEA TRANSIT</v>
      </c>
    </row>
    <row r="131" spans="2:21" s="140" customFormat="1" x14ac:dyDescent="0.35">
      <c r="B131" s="140" t="s">
        <v>260</v>
      </c>
      <c r="C131" s="141">
        <v>79018063674049</v>
      </c>
      <c r="D131" s="140" t="s">
        <v>269</v>
      </c>
      <c r="E131" s="140" t="s">
        <v>75</v>
      </c>
      <c r="F131" s="142"/>
      <c r="H131" s="142">
        <v>46216</v>
      </c>
      <c r="I131" s="142">
        <f t="shared" si="17"/>
        <v>46228</v>
      </c>
      <c r="J131" s="142">
        <f t="shared" si="18"/>
        <v>46288</v>
      </c>
      <c r="T131" s="160" t="str">
        <f t="shared" ca="1" si="16"/>
        <v>40DAYS LEFT</v>
      </c>
      <c r="U131" s="157" t="str">
        <f t="shared" ca="1" si="15"/>
        <v>SEA TRANSIT</v>
      </c>
    </row>
    <row r="132" spans="2:21" s="140" customFormat="1" x14ac:dyDescent="0.35">
      <c r="B132" s="140" t="s">
        <v>189</v>
      </c>
      <c r="C132" s="141">
        <v>74100573020380</v>
      </c>
      <c r="D132" s="140" t="s">
        <v>270</v>
      </c>
      <c r="E132" s="140" t="s">
        <v>75</v>
      </c>
      <c r="F132" s="142"/>
      <c r="H132" s="142">
        <v>46216</v>
      </c>
      <c r="I132" s="142">
        <f t="shared" si="17"/>
        <v>46228</v>
      </c>
      <c r="J132" s="142">
        <f t="shared" si="18"/>
        <v>46288</v>
      </c>
      <c r="T132" s="160" t="str">
        <f t="shared" ca="1" si="16"/>
        <v>40DAYS LEFT</v>
      </c>
      <c r="U132" s="157" t="str">
        <f t="shared" ca="1" si="15"/>
        <v>SEA TRANSIT</v>
      </c>
    </row>
    <row r="133" spans="2:21" s="140" customFormat="1" x14ac:dyDescent="0.35">
      <c r="B133" s="140" t="s">
        <v>271</v>
      </c>
      <c r="C133" s="141">
        <v>79018115792174</v>
      </c>
      <c r="D133" s="140" t="s">
        <v>272</v>
      </c>
      <c r="E133" s="140" t="s">
        <v>128</v>
      </c>
      <c r="F133" s="142"/>
      <c r="H133" s="142">
        <v>46216</v>
      </c>
      <c r="I133" s="142">
        <f t="shared" si="17"/>
        <v>46228</v>
      </c>
      <c r="J133" s="142">
        <f t="shared" si="18"/>
        <v>46288</v>
      </c>
      <c r="T133" s="160" t="str">
        <f t="shared" ca="1" si="16"/>
        <v>40DAYS LEFT</v>
      </c>
      <c r="U133" s="157" t="str">
        <f t="shared" ca="1" si="15"/>
        <v>SEA TRANSIT</v>
      </c>
    </row>
    <row r="134" spans="2:21" s="140" customFormat="1" x14ac:dyDescent="0.35">
      <c r="B134" s="140" t="s">
        <v>273</v>
      </c>
      <c r="C134" s="141" t="s">
        <v>274</v>
      </c>
      <c r="E134" s="140" t="s">
        <v>75</v>
      </c>
      <c r="F134" s="142"/>
      <c r="H134" s="142">
        <v>46216</v>
      </c>
      <c r="I134" s="142">
        <f t="shared" si="17"/>
        <v>46228</v>
      </c>
      <c r="J134" s="142">
        <f t="shared" si="18"/>
        <v>46288</v>
      </c>
      <c r="T134" s="160" t="str">
        <f t="shared" ca="1" si="16"/>
        <v>40DAYS LEFT</v>
      </c>
      <c r="U134" s="157" t="str">
        <f t="shared" ca="1" si="15"/>
        <v>SEA TRANSIT</v>
      </c>
    </row>
    <row r="135" spans="2:21" s="140" customFormat="1" x14ac:dyDescent="0.35">
      <c r="B135" s="140" t="s">
        <v>273</v>
      </c>
      <c r="C135" s="141" t="s">
        <v>275</v>
      </c>
      <c r="E135" s="140" t="s">
        <v>75</v>
      </c>
      <c r="F135" s="142"/>
      <c r="H135" s="142">
        <v>46216</v>
      </c>
      <c r="I135" s="142">
        <f>H135+7+MOD(7-WEEKDAY(H135+7),7)</f>
        <v>46228</v>
      </c>
      <c r="J135" s="142">
        <f>I135+60</f>
        <v>46288</v>
      </c>
      <c r="T135" s="160" t="str">
        <f t="shared" ca="1" si="16"/>
        <v>40DAYS LEFT</v>
      </c>
      <c r="U135" s="157" t="str">
        <f t="shared" ca="1" si="15"/>
        <v>SEA TRANSIT</v>
      </c>
    </row>
    <row r="136" spans="2:21" s="140" customFormat="1" x14ac:dyDescent="0.35">
      <c r="B136" s="140" t="s">
        <v>273</v>
      </c>
      <c r="C136" s="141" t="s">
        <v>276</v>
      </c>
      <c r="E136" s="140" t="s">
        <v>75</v>
      </c>
      <c r="F136" s="142"/>
      <c r="H136" s="142">
        <v>46216</v>
      </c>
      <c r="I136" s="142">
        <f t="shared" ref="I136:I142" si="19">H136+7+MOD(7-WEEKDAY(H136+7),7)</f>
        <v>46228</v>
      </c>
      <c r="J136" s="142">
        <f t="shared" ref="J136:J148" si="20">I136+60</f>
        <v>46288</v>
      </c>
      <c r="T136" s="160" t="str">
        <f t="shared" ca="1" si="16"/>
        <v>40DAYS LEFT</v>
      </c>
      <c r="U136" s="157" t="str">
        <f t="shared" ca="1" si="15"/>
        <v>SEA TRANSIT</v>
      </c>
    </row>
    <row r="137" spans="2:21" s="140" customFormat="1" x14ac:dyDescent="0.35">
      <c r="B137" s="140" t="s">
        <v>273</v>
      </c>
      <c r="C137" s="141" t="s">
        <v>277</v>
      </c>
      <c r="E137" s="140" t="s">
        <v>75</v>
      </c>
      <c r="F137" s="142"/>
      <c r="H137" s="142">
        <v>46216</v>
      </c>
      <c r="I137" s="142">
        <f t="shared" si="19"/>
        <v>46228</v>
      </c>
      <c r="J137" s="142">
        <f t="shared" si="20"/>
        <v>46288</v>
      </c>
      <c r="T137" s="160" t="str">
        <f t="shared" ca="1" si="16"/>
        <v>40DAYS LEFT</v>
      </c>
      <c r="U137" s="157" t="str">
        <f t="shared" ca="1" si="15"/>
        <v>SEA TRANSIT</v>
      </c>
    </row>
    <row r="138" spans="2:21" s="144" customFormat="1" x14ac:dyDescent="0.35">
      <c r="B138" s="144" t="s">
        <v>186</v>
      </c>
      <c r="C138" s="145">
        <v>79018222811152</v>
      </c>
      <c r="D138" s="144" t="s">
        <v>278</v>
      </c>
      <c r="E138" s="144" t="s">
        <v>75</v>
      </c>
      <c r="F138" s="146"/>
      <c r="H138" s="146">
        <v>46217</v>
      </c>
      <c r="I138" s="146">
        <f t="shared" si="19"/>
        <v>46228</v>
      </c>
      <c r="J138" s="146">
        <f t="shared" si="20"/>
        <v>46288</v>
      </c>
      <c r="T138" s="147" t="str">
        <f t="shared" ca="1" si="16"/>
        <v>40DAYS LEFT</v>
      </c>
      <c r="U138" s="144" t="str">
        <f t="shared" ca="1" si="15"/>
        <v>SEA TRANSIT</v>
      </c>
    </row>
    <row r="139" spans="2:21" s="144" customFormat="1" x14ac:dyDescent="0.35">
      <c r="B139" s="144" t="s">
        <v>124</v>
      </c>
      <c r="C139" s="145" t="s">
        <v>279</v>
      </c>
      <c r="D139" s="144" t="s">
        <v>280</v>
      </c>
      <c r="E139" s="144" t="s">
        <v>75</v>
      </c>
      <c r="F139" s="146"/>
      <c r="H139" s="146">
        <v>46217</v>
      </c>
      <c r="I139" s="146">
        <f t="shared" si="19"/>
        <v>46228</v>
      </c>
      <c r="J139" s="146">
        <f t="shared" si="20"/>
        <v>46288</v>
      </c>
      <c r="T139" s="147" t="str">
        <f t="shared" ca="1" si="16"/>
        <v>40DAYS LEFT</v>
      </c>
      <c r="U139" s="144" t="str">
        <f t="shared" ca="1" si="15"/>
        <v>SEA TRANSIT</v>
      </c>
    </row>
    <row r="140" spans="2:21" s="144" customFormat="1" x14ac:dyDescent="0.35">
      <c r="B140" s="144" t="s">
        <v>281</v>
      </c>
      <c r="C140" s="145">
        <v>910060403969</v>
      </c>
      <c r="D140" s="144" t="s">
        <v>282</v>
      </c>
      <c r="E140" s="144" t="s">
        <v>128</v>
      </c>
      <c r="F140" s="146"/>
      <c r="H140" s="146">
        <v>46217</v>
      </c>
      <c r="I140" s="146">
        <f t="shared" si="19"/>
        <v>46228</v>
      </c>
      <c r="J140" s="146">
        <f t="shared" si="20"/>
        <v>46288</v>
      </c>
      <c r="T140" s="147" t="str">
        <f t="shared" ca="1" si="16"/>
        <v>40DAYS LEFT</v>
      </c>
      <c r="U140" s="144" t="str">
        <f t="shared" ca="1" si="15"/>
        <v>SEA TRANSIT</v>
      </c>
    </row>
    <row r="141" spans="2:21" s="144" customFormat="1" x14ac:dyDescent="0.35">
      <c r="B141" s="144" t="s">
        <v>186</v>
      </c>
      <c r="C141" s="145" t="s">
        <v>283</v>
      </c>
      <c r="D141" s="144" t="s">
        <v>295</v>
      </c>
      <c r="E141" s="144" t="s">
        <v>75</v>
      </c>
      <c r="F141" s="146"/>
      <c r="H141" s="146">
        <v>46217</v>
      </c>
      <c r="I141" s="146">
        <f t="shared" si="19"/>
        <v>46228</v>
      </c>
      <c r="J141" s="146">
        <f t="shared" si="20"/>
        <v>46288</v>
      </c>
      <c r="T141" s="147" t="str">
        <f t="shared" ca="1" si="16"/>
        <v>40DAYS LEFT</v>
      </c>
      <c r="U141" s="144" t="str">
        <f t="shared" ca="1" si="15"/>
        <v>SEA TRANSIT</v>
      </c>
    </row>
    <row r="142" spans="2:21" s="144" customFormat="1" x14ac:dyDescent="0.35">
      <c r="B142" s="144" t="s">
        <v>186</v>
      </c>
      <c r="C142" s="145">
        <v>773431411026738</v>
      </c>
      <c r="D142" s="144" t="s">
        <v>284</v>
      </c>
      <c r="E142" s="144" t="s">
        <v>75</v>
      </c>
      <c r="H142" s="146">
        <v>46217</v>
      </c>
      <c r="I142" s="146">
        <f t="shared" si="19"/>
        <v>46228</v>
      </c>
      <c r="J142" s="146">
        <f t="shared" si="20"/>
        <v>46288</v>
      </c>
      <c r="T142" s="147" t="str">
        <f t="shared" ca="1" si="16"/>
        <v>40DAYS LEFT</v>
      </c>
      <c r="U142" s="144" t="str">
        <f t="shared" ca="1" si="15"/>
        <v>SEA TRANSIT</v>
      </c>
    </row>
    <row r="143" spans="2:21" s="144" customFormat="1" x14ac:dyDescent="0.35">
      <c r="B143" s="144" t="s">
        <v>186</v>
      </c>
      <c r="C143" s="145">
        <v>773431411324654</v>
      </c>
      <c r="D143" s="144" t="s">
        <v>284</v>
      </c>
      <c r="E143" s="144" t="s">
        <v>76</v>
      </c>
      <c r="H143" s="146">
        <v>46217</v>
      </c>
      <c r="I143" s="146">
        <f>H143+7+MOD(7-WEEKDAY(H143+7),7)</f>
        <v>46228</v>
      </c>
      <c r="J143" s="146">
        <f t="shared" si="20"/>
        <v>46288</v>
      </c>
      <c r="T143" s="147" t="str">
        <f t="shared" ca="1" si="16"/>
        <v>40DAYS LEFT</v>
      </c>
      <c r="U143" s="144" t="str">
        <f t="shared" ca="1" si="15"/>
        <v>SEA TRANSIT</v>
      </c>
    </row>
    <row r="144" spans="2:21" s="144" customFormat="1" x14ac:dyDescent="0.35">
      <c r="B144" s="144" t="s">
        <v>186</v>
      </c>
      <c r="C144" s="145">
        <v>435266015849244</v>
      </c>
      <c r="D144" s="144" t="s">
        <v>285</v>
      </c>
      <c r="E144" s="144" t="s">
        <v>76</v>
      </c>
      <c r="H144" s="146">
        <v>46217</v>
      </c>
      <c r="I144" s="146">
        <f t="shared" ref="I144:I151" si="21">H144+7+MOD(7-WEEKDAY(H144+7),7)</f>
        <v>46228</v>
      </c>
      <c r="J144" s="146">
        <f t="shared" si="20"/>
        <v>46288</v>
      </c>
      <c r="T144" s="147" t="str">
        <f t="shared" ca="1" si="16"/>
        <v>40DAYS LEFT</v>
      </c>
      <c r="U144" s="144" t="str">
        <f t="shared" ca="1" si="15"/>
        <v>SEA TRANSIT</v>
      </c>
    </row>
    <row r="145" spans="2:21" s="144" customFormat="1" x14ac:dyDescent="0.35">
      <c r="B145" s="144" t="s">
        <v>124</v>
      </c>
      <c r="C145" s="145" t="s">
        <v>286</v>
      </c>
      <c r="D145" s="144" t="s">
        <v>287</v>
      </c>
      <c r="E145" s="144" t="s">
        <v>76</v>
      </c>
      <c r="H145" s="146">
        <v>46217</v>
      </c>
      <c r="I145" s="146">
        <f t="shared" si="21"/>
        <v>46228</v>
      </c>
      <c r="J145" s="146">
        <f t="shared" si="20"/>
        <v>46288</v>
      </c>
      <c r="T145" s="147" t="str">
        <f t="shared" ca="1" si="16"/>
        <v>40DAYS LEFT</v>
      </c>
      <c r="U145" s="144" t="str">
        <f t="shared" ca="1" si="15"/>
        <v>SEA TRANSIT</v>
      </c>
    </row>
    <row r="146" spans="2:21" s="144" customFormat="1" x14ac:dyDescent="0.35">
      <c r="B146" s="144" t="s">
        <v>288</v>
      </c>
      <c r="C146" s="145" t="s">
        <v>289</v>
      </c>
      <c r="D146" s="144" t="s">
        <v>290</v>
      </c>
      <c r="E146" s="144" t="s">
        <v>76</v>
      </c>
      <c r="H146" s="146">
        <v>46217</v>
      </c>
      <c r="I146" s="146">
        <f t="shared" si="21"/>
        <v>46228</v>
      </c>
      <c r="J146" s="146">
        <f t="shared" si="20"/>
        <v>46288</v>
      </c>
      <c r="T146" s="147" t="str">
        <f t="shared" ca="1" si="16"/>
        <v>40DAYS LEFT</v>
      </c>
      <c r="U146" s="144" t="str">
        <f t="shared" ca="1" si="15"/>
        <v>SEA TRANSIT</v>
      </c>
    </row>
    <row r="147" spans="2:21" s="144" customFormat="1" x14ac:dyDescent="0.35">
      <c r="B147" s="144" t="s">
        <v>291</v>
      </c>
      <c r="C147" s="145">
        <v>435267372904213</v>
      </c>
      <c r="D147" s="144" t="s">
        <v>292</v>
      </c>
      <c r="E147" s="144" t="s">
        <v>128</v>
      </c>
      <c r="H147" s="146">
        <v>46217</v>
      </c>
      <c r="I147" s="146">
        <f t="shared" si="21"/>
        <v>46228</v>
      </c>
      <c r="J147" s="146">
        <f t="shared" si="20"/>
        <v>46288</v>
      </c>
      <c r="T147" s="147" t="str">
        <f t="shared" ca="1" si="16"/>
        <v>40DAYS LEFT</v>
      </c>
      <c r="U147" s="144" t="str">
        <f t="shared" ca="1" si="15"/>
        <v>SEA TRANSIT</v>
      </c>
    </row>
    <row r="148" spans="2:21" s="144" customFormat="1" x14ac:dyDescent="0.35">
      <c r="B148" s="144" t="s">
        <v>288</v>
      </c>
      <c r="C148" s="145">
        <v>79122144608006</v>
      </c>
      <c r="D148" s="144" t="s">
        <v>261</v>
      </c>
      <c r="E148" s="144" t="s">
        <v>76</v>
      </c>
      <c r="H148" s="146">
        <v>46217</v>
      </c>
      <c r="I148" s="146">
        <f t="shared" si="21"/>
        <v>46228</v>
      </c>
      <c r="J148" s="146">
        <f t="shared" si="20"/>
        <v>46288</v>
      </c>
      <c r="T148" s="147" t="str">
        <f t="shared" ca="1" si="16"/>
        <v>40DAYS LEFT</v>
      </c>
      <c r="U148" s="144" t="str">
        <f t="shared" ca="1" si="15"/>
        <v>SEA TRANSIT</v>
      </c>
    </row>
    <row r="149" spans="2:21" s="144" customFormat="1" x14ac:dyDescent="0.35">
      <c r="B149" s="144" t="s">
        <v>288</v>
      </c>
      <c r="C149" s="145">
        <v>46500724442619</v>
      </c>
      <c r="D149" s="144" t="s">
        <v>293</v>
      </c>
      <c r="E149" s="144" t="s">
        <v>75</v>
      </c>
      <c r="H149" s="146">
        <v>46217</v>
      </c>
      <c r="I149" s="146">
        <f t="shared" si="21"/>
        <v>46228</v>
      </c>
      <c r="J149" s="146">
        <f>I149+60</f>
        <v>46288</v>
      </c>
      <c r="T149" s="147" t="str">
        <f t="shared" ca="1" si="16"/>
        <v>40DAYS LEFT</v>
      </c>
      <c r="U149" s="144" t="str">
        <f t="shared" ca="1" si="15"/>
        <v>SEA TRANSIT</v>
      </c>
    </row>
    <row r="150" spans="2:21" s="144" customFormat="1" x14ac:dyDescent="0.35">
      <c r="B150" s="144" t="s">
        <v>288</v>
      </c>
      <c r="C150" s="145">
        <v>981764433953</v>
      </c>
      <c r="D150" s="144" t="s">
        <v>294</v>
      </c>
      <c r="E150" s="144" t="s">
        <v>76</v>
      </c>
      <c r="H150" s="146">
        <v>46217</v>
      </c>
      <c r="I150" s="146">
        <f t="shared" si="21"/>
        <v>46228</v>
      </c>
      <c r="J150" s="146">
        <f t="shared" ref="J150:J177" si="22">I150+60</f>
        <v>46288</v>
      </c>
      <c r="T150" s="147" t="str">
        <f t="shared" ca="1" si="16"/>
        <v>40DAYS LEFT</v>
      </c>
      <c r="U150" s="144" t="str">
        <f t="shared" ca="1" si="15"/>
        <v>SEA TRANSIT</v>
      </c>
    </row>
    <row r="151" spans="2:21" s="144" customFormat="1" x14ac:dyDescent="0.35">
      <c r="B151" s="144" t="s">
        <v>288</v>
      </c>
      <c r="C151" s="145">
        <v>79122144608006</v>
      </c>
      <c r="E151" s="144" t="s">
        <v>75</v>
      </c>
      <c r="H151" s="146">
        <v>46217</v>
      </c>
      <c r="I151" s="146">
        <f t="shared" si="21"/>
        <v>46228</v>
      </c>
      <c r="J151" s="146">
        <f t="shared" si="22"/>
        <v>46288</v>
      </c>
      <c r="T151" s="147" t="str">
        <f t="shared" ca="1" si="16"/>
        <v>40DAYS LEFT</v>
      </c>
      <c r="U151" s="144" t="str">
        <f t="shared" ca="1" si="15"/>
        <v>SEA TRANSIT</v>
      </c>
    </row>
    <row r="152" spans="2:21" s="161" customFormat="1" x14ac:dyDescent="0.35">
      <c r="B152" s="161" t="s">
        <v>80</v>
      </c>
      <c r="C152" s="162"/>
      <c r="D152" s="161" t="s">
        <v>62</v>
      </c>
      <c r="E152" s="161" t="s">
        <v>128</v>
      </c>
      <c r="H152" s="163">
        <v>46218</v>
      </c>
      <c r="I152" s="163">
        <f>H152+7+MOD(7-WEEKDAY(H152+7),7)</f>
        <v>46228</v>
      </c>
      <c r="J152" s="163">
        <f t="shared" si="22"/>
        <v>46288</v>
      </c>
      <c r="T152" s="164" t="str">
        <f t="shared" ca="1" si="16"/>
        <v>40DAYS LEFT</v>
      </c>
      <c r="U152" s="161" t="str">
        <f t="shared" ca="1" si="15"/>
        <v>SEA TRANSIT</v>
      </c>
    </row>
    <row r="153" spans="2:21" s="161" customFormat="1" x14ac:dyDescent="0.35">
      <c r="B153" s="161" t="s">
        <v>296</v>
      </c>
      <c r="C153" s="162">
        <v>79018358874751</v>
      </c>
      <c r="E153" s="161" t="s">
        <v>128</v>
      </c>
      <c r="H153" s="163">
        <v>46218</v>
      </c>
      <c r="I153" s="163">
        <f>H153+7+MOD(7-WEEKDAY(H153+7),7)</f>
        <v>46228</v>
      </c>
      <c r="J153" s="163">
        <f t="shared" si="22"/>
        <v>46288</v>
      </c>
      <c r="T153" s="164" t="str">
        <f t="shared" ca="1" si="16"/>
        <v>40DAYS LEFT</v>
      </c>
      <c r="U153" s="161" t="str">
        <f t="shared" ca="1" si="15"/>
        <v>SEA TRANSIT</v>
      </c>
    </row>
    <row r="154" spans="2:21" s="161" customFormat="1" x14ac:dyDescent="0.35">
      <c r="B154" s="161" t="s">
        <v>296</v>
      </c>
      <c r="C154" s="162">
        <v>77343528745792</v>
      </c>
      <c r="E154" s="161" t="s">
        <v>128</v>
      </c>
      <c r="H154" s="163">
        <v>46218</v>
      </c>
      <c r="I154" s="163">
        <f>H154+7+MOD(7-WEEKDAY(H154+7),7)</f>
        <v>46228</v>
      </c>
      <c r="J154" s="163">
        <f t="shared" si="22"/>
        <v>46288</v>
      </c>
      <c r="T154" s="164" t="str">
        <f t="shared" ca="1" si="16"/>
        <v>40DAYS LEFT</v>
      </c>
      <c r="U154" s="161" t="str">
        <f t="shared" ca="1" si="15"/>
        <v>SEA TRANSIT</v>
      </c>
    </row>
    <row r="155" spans="2:21" s="161" customFormat="1" x14ac:dyDescent="0.35">
      <c r="B155" s="161" t="s">
        <v>296</v>
      </c>
      <c r="C155" s="162">
        <v>435267391770132</v>
      </c>
      <c r="E155" s="161" t="s">
        <v>128</v>
      </c>
      <c r="H155" s="163">
        <v>46218</v>
      </c>
      <c r="I155" s="163">
        <f>H155+7+MOD(7-WEEKDAY(H155+7),7)</f>
        <v>46228</v>
      </c>
      <c r="J155" s="163">
        <f t="shared" si="22"/>
        <v>46288</v>
      </c>
      <c r="T155" s="164" t="str">
        <f t="shared" ca="1" si="16"/>
        <v>40DAYS LEFT</v>
      </c>
      <c r="U155" s="161" t="str">
        <f t="shared" ca="1" si="15"/>
        <v>SEA TRANSIT</v>
      </c>
    </row>
    <row r="156" spans="2:21" s="161" customFormat="1" x14ac:dyDescent="0.35">
      <c r="B156" s="161" t="s">
        <v>296</v>
      </c>
      <c r="C156" s="162" t="s">
        <v>297</v>
      </c>
      <c r="E156" s="161" t="s">
        <v>128</v>
      </c>
      <c r="H156" s="163">
        <v>46218</v>
      </c>
      <c r="I156" s="163">
        <f>H156+7+MOD(7-WEEKDAY(H156+7),7)</f>
        <v>46228</v>
      </c>
      <c r="J156" s="163">
        <f t="shared" si="22"/>
        <v>46288</v>
      </c>
      <c r="T156" s="164" t="str">
        <f t="shared" ca="1" si="16"/>
        <v>40DAYS LEFT</v>
      </c>
      <c r="U156" s="161" t="str">
        <f t="shared" ca="1" si="15"/>
        <v>SEA TRANSIT</v>
      </c>
    </row>
    <row r="157" spans="2:21" s="161" customFormat="1" x14ac:dyDescent="0.35">
      <c r="B157" s="161" t="s">
        <v>296</v>
      </c>
      <c r="C157" s="162">
        <v>77343142821581</v>
      </c>
      <c r="E157" s="161" t="s">
        <v>128</v>
      </c>
      <c r="H157" s="163">
        <v>46218</v>
      </c>
      <c r="I157" s="163">
        <f t="shared" ref="I157:I178" si="23">H157+7+MOD(7-WEEKDAY(H157+7),7)</f>
        <v>46228</v>
      </c>
      <c r="J157" s="163">
        <f t="shared" si="22"/>
        <v>46288</v>
      </c>
      <c r="T157" s="164" t="str">
        <f t="shared" ca="1" si="16"/>
        <v>40DAYS LEFT</v>
      </c>
      <c r="U157" s="161" t="str">
        <f t="shared" ca="1" si="15"/>
        <v>SEA TRANSIT</v>
      </c>
    </row>
    <row r="158" spans="2:21" s="161" customFormat="1" x14ac:dyDescent="0.35">
      <c r="B158" s="161" t="s">
        <v>296</v>
      </c>
      <c r="C158" s="162">
        <v>773431528745809</v>
      </c>
      <c r="E158" s="161" t="s">
        <v>128</v>
      </c>
      <c r="H158" s="163">
        <v>46218</v>
      </c>
      <c r="I158" s="163">
        <f t="shared" si="23"/>
        <v>46228</v>
      </c>
      <c r="J158" s="163">
        <f t="shared" si="22"/>
        <v>46288</v>
      </c>
      <c r="T158" s="164" t="str">
        <f t="shared" ca="1" si="16"/>
        <v>40DAYS LEFT</v>
      </c>
      <c r="U158" s="161" t="str">
        <f t="shared" ca="1" si="15"/>
        <v>SEA TRANSIT</v>
      </c>
    </row>
    <row r="159" spans="2:21" s="161" customFormat="1" x14ac:dyDescent="0.35">
      <c r="B159" s="161" t="s">
        <v>288</v>
      </c>
      <c r="C159" s="162" t="s">
        <v>298</v>
      </c>
      <c r="D159" s="161" t="s">
        <v>324</v>
      </c>
      <c r="E159" s="161" t="s">
        <v>75</v>
      </c>
      <c r="H159" s="163">
        <v>46218</v>
      </c>
      <c r="I159" s="163">
        <f t="shared" si="23"/>
        <v>46228</v>
      </c>
      <c r="J159" s="163">
        <f t="shared" si="22"/>
        <v>46288</v>
      </c>
      <c r="T159" s="164" t="str">
        <f t="shared" ca="1" si="16"/>
        <v>40DAYS LEFT</v>
      </c>
      <c r="U159" s="161" t="str">
        <f t="shared" ca="1" si="15"/>
        <v>SEA TRANSIT</v>
      </c>
    </row>
    <row r="160" spans="2:21" s="161" customFormat="1" x14ac:dyDescent="0.35">
      <c r="B160" s="161" t="s">
        <v>288</v>
      </c>
      <c r="C160" s="162" t="s">
        <v>299</v>
      </c>
      <c r="D160" s="161" t="s">
        <v>324</v>
      </c>
      <c r="E160" s="161" t="s">
        <v>75</v>
      </c>
      <c r="H160" s="163">
        <v>46218</v>
      </c>
      <c r="I160" s="163">
        <f t="shared" si="23"/>
        <v>46228</v>
      </c>
      <c r="J160" s="163">
        <f t="shared" si="22"/>
        <v>46288</v>
      </c>
      <c r="T160" s="164" t="str">
        <f t="shared" ca="1" si="16"/>
        <v>40DAYS LEFT</v>
      </c>
      <c r="U160" s="161" t="str">
        <f t="shared" ca="1" si="15"/>
        <v>SEA TRANSIT</v>
      </c>
    </row>
    <row r="161" spans="2:21" s="161" customFormat="1" x14ac:dyDescent="0.35">
      <c r="B161" s="161" t="s">
        <v>312</v>
      </c>
      <c r="C161" s="162" t="s">
        <v>300</v>
      </c>
      <c r="D161" s="161" t="s">
        <v>322</v>
      </c>
      <c r="E161" s="161" t="s">
        <v>75</v>
      </c>
      <c r="H161" s="163">
        <v>46218</v>
      </c>
      <c r="I161" s="163">
        <f t="shared" si="23"/>
        <v>46228</v>
      </c>
      <c r="J161" s="163">
        <f t="shared" si="22"/>
        <v>46288</v>
      </c>
      <c r="T161" s="164" t="str">
        <f t="shared" ca="1" si="16"/>
        <v>40DAYS LEFT</v>
      </c>
      <c r="U161" s="161" t="str">
        <f t="shared" ca="1" si="15"/>
        <v>SEA TRANSIT</v>
      </c>
    </row>
    <row r="162" spans="2:21" s="161" customFormat="1" x14ac:dyDescent="0.35">
      <c r="C162" s="162"/>
      <c r="H162" s="163">
        <v>46218</v>
      </c>
      <c r="I162" s="163">
        <f t="shared" si="23"/>
        <v>46228</v>
      </c>
      <c r="J162" s="163">
        <f t="shared" si="22"/>
        <v>46288</v>
      </c>
      <c r="T162" s="164" t="str">
        <f t="shared" ca="1" si="16"/>
        <v>40DAYS LEFT</v>
      </c>
      <c r="U162" s="161" t="str">
        <f t="shared" ca="1" si="15"/>
        <v>SEA TRANSIT</v>
      </c>
    </row>
    <row r="163" spans="2:21" s="161" customFormat="1" x14ac:dyDescent="0.35">
      <c r="B163" s="161" t="s">
        <v>186</v>
      </c>
      <c r="C163" s="162" t="s">
        <v>301</v>
      </c>
      <c r="D163" s="161" t="s">
        <v>322</v>
      </c>
      <c r="E163" s="161" t="s">
        <v>75</v>
      </c>
      <c r="H163" s="163">
        <v>46218</v>
      </c>
      <c r="I163" s="163">
        <f t="shared" si="23"/>
        <v>46228</v>
      </c>
      <c r="J163" s="163">
        <f t="shared" si="22"/>
        <v>46288</v>
      </c>
      <c r="T163" s="164" t="str">
        <f t="shared" ca="1" si="16"/>
        <v>40DAYS LEFT</v>
      </c>
      <c r="U163" s="161" t="str">
        <f t="shared" ca="1" si="15"/>
        <v>SEA TRANSIT</v>
      </c>
    </row>
    <row r="164" spans="2:21" s="161" customFormat="1" x14ac:dyDescent="0.35">
      <c r="B164" s="161" t="s">
        <v>186</v>
      </c>
      <c r="C164" s="162" t="s">
        <v>302</v>
      </c>
      <c r="D164" s="161" t="s">
        <v>323</v>
      </c>
      <c r="E164" s="161" t="s">
        <v>75</v>
      </c>
      <c r="H164" s="163">
        <v>46218</v>
      </c>
      <c r="I164" s="163">
        <f t="shared" si="23"/>
        <v>46228</v>
      </c>
      <c r="J164" s="163">
        <f t="shared" si="22"/>
        <v>46288</v>
      </c>
      <c r="T164" s="164" t="str">
        <f t="shared" ca="1" si="16"/>
        <v>40DAYS LEFT</v>
      </c>
      <c r="U164" s="161" t="str">
        <f t="shared" ca="1" si="15"/>
        <v>SEA TRANSIT</v>
      </c>
    </row>
    <row r="165" spans="2:21" s="161" customFormat="1" x14ac:dyDescent="0.35">
      <c r="B165" s="161" t="s">
        <v>186</v>
      </c>
      <c r="C165" s="162">
        <v>7.7343147722435504E+16</v>
      </c>
      <c r="D165" s="161" t="s">
        <v>322</v>
      </c>
      <c r="E165" s="161" t="s">
        <v>75</v>
      </c>
      <c r="H165" s="163">
        <v>46218</v>
      </c>
      <c r="I165" s="163">
        <f t="shared" si="23"/>
        <v>46228</v>
      </c>
      <c r="J165" s="163">
        <f t="shared" si="22"/>
        <v>46288</v>
      </c>
      <c r="T165" s="164" t="str">
        <f t="shared" ca="1" si="16"/>
        <v>40DAYS LEFT</v>
      </c>
      <c r="U165" s="161" t="str">
        <f t="shared" ca="1" si="15"/>
        <v>SEA TRANSIT</v>
      </c>
    </row>
    <row r="166" spans="2:21" s="161" customFormat="1" x14ac:dyDescent="0.35">
      <c r="B166" s="161" t="s">
        <v>296</v>
      </c>
      <c r="C166" s="162" t="s">
        <v>303</v>
      </c>
      <c r="D166" s="161" t="s">
        <v>319</v>
      </c>
      <c r="E166" s="161" t="s">
        <v>75</v>
      </c>
      <c r="H166" s="163">
        <v>46218</v>
      </c>
      <c r="I166" s="163">
        <f t="shared" si="23"/>
        <v>46228</v>
      </c>
      <c r="J166" s="163">
        <f t="shared" si="22"/>
        <v>46288</v>
      </c>
      <c r="T166" s="164" t="str">
        <f t="shared" ca="1" si="16"/>
        <v>40DAYS LEFT</v>
      </c>
      <c r="U166" s="161" t="str">
        <f t="shared" ca="1" si="15"/>
        <v>SEA TRANSIT</v>
      </c>
    </row>
    <row r="167" spans="2:21" s="161" customFormat="1" x14ac:dyDescent="0.35">
      <c r="B167" s="161" t="s">
        <v>158</v>
      </c>
      <c r="C167" s="162"/>
      <c r="D167" s="161" t="s">
        <v>304</v>
      </c>
      <c r="E167" s="161" t="s">
        <v>75</v>
      </c>
      <c r="H167" s="163">
        <v>46218</v>
      </c>
      <c r="I167" s="163">
        <f t="shared" si="23"/>
        <v>46228</v>
      </c>
      <c r="J167" s="163">
        <f t="shared" si="22"/>
        <v>46288</v>
      </c>
      <c r="T167" s="164" t="str">
        <f t="shared" ca="1" si="16"/>
        <v>40DAYS LEFT</v>
      </c>
      <c r="U167" s="161" t="str">
        <f t="shared" ca="1" si="15"/>
        <v>SEA TRANSIT</v>
      </c>
    </row>
    <row r="168" spans="2:21" s="161" customFormat="1" x14ac:dyDescent="0.35">
      <c r="B168" s="161" t="s">
        <v>186</v>
      </c>
      <c r="C168" s="162">
        <v>918458953372</v>
      </c>
      <c r="D168" s="161" t="s">
        <v>321</v>
      </c>
      <c r="E168" s="161" t="s">
        <v>75</v>
      </c>
      <c r="H168" s="163">
        <v>46218</v>
      </c>
      <c r="I168" s="163">
        <f t="shared" si="23"/>
        <v>46228</v>
      </c>
      <c r="J168" s="163">
        <f t="shared" si="22"/>
        <v>46288</v>
      </c>
      <c r="T168" s="164" t="str">
        <f t="shared" ca="1" si="16"/>
        <v>40DAYS LEFT</v>
      </c>
      <c r="U168" s="161" t="str">
        <f t="shared" ca="1" si="15"/>
        <v>SEA TRANSIT</v>
      </c>
    </row>
    <row r="169" spans="2:21" s="161" customFormat="1" x14ac:dyDescent="0.35">
      <c r="B169" s="161" t="s">
        <v>124</v>
      </c>
      <c r="C169" s="162" t="s">
        <v>305</v>
      </c>
      <c r="E169" s="161" t="s">
        <v>75</v>
      </c>
      <c r="H169" s="163">
        <v>46218</v>
      </c>
      <c r="I169" s="163">
        <f t="shared" si="23"/>
        <v>46228</v>
      </c>
      <c r="J169" s="163">
        <f t="shared" si="22"/>
        <v>46288</v>
      </c>
      <c r="T169" s="164" t="str">
        <f t="shared" ca="1" si="16"/>
        <v>40DAYS LEFT</v>
      </c>
      <c r="U169" s="161" t="str">
        <f t="shared" ca="1" si="15"/>
        <v>SEA TRANSIT</v>
      </c>
    </row>
    <row r="170" spans="2:21" s="161" customFormat="1" x14ac:dyDescent="0.35">
      <c r="B170" s="161" t="s">
        <v>252</v>
      </c>
      <c r="C170" s="162" t="s">
        <v>306</v>
      </c>
      <c r="D170" s="161" t="s">
        <v>320</v>
      </c>
      <c r="E170" s="161" t="s">
        <v>75</v>
      </c>
      <c r="H170" s="163">
        <v>46218</v>
      </c>
      <c r="I170" s="163">
        <f t="shared" si="23"/>
        <v>46228</v>
      </c>
      <c r="J170" s="163">
        <f t="shared" si="22"/>
        <v>46288</v>
      </c>
      <c r="T170" s="164" t="str">
        <f t="shared" ca="1" si="16"/>
        <v>40DAYS LEFT</v>
      </c>
      <c r="U170" s="161" t="str">
        <f t="shared" ca="1" si="15"/>
        <v>SEA TRANSIT</v>
      </c>
    </row>
    <row r="171" spans="2:21" s="161" customFormat="1" x14ac:dyDescent="0.35">
      <c r="B171" s="161" t="s">
        <v>296</v>
      </c>
      <c r="C171" s="162" t="s">
        <v>307</v>
      </c>
      <c r="D171" s="161" t="s">
        <v>319</v>
      </c>
      <c r="E171" s="161" t="s">
        <v>75</v>
      </c>
      <c r="H171" s="163">
        <v>46218</v>
      </c>
      <c r="I171" s="163">
        <f t="shared" si="23"/>
        <v>46228</v>
      </c>
      <c r="J171" s="163">
        <f t="shared" si="22"/>
        <v>46288</v>
      </c>
      <c r="T171" s="164" t="str">
        <f t="shared" ca="1" si="16"/>
        <v>40DAYS LEFT</v>
      </c>
      <c r="U171" s="161" t="str">
        <f t="shared" ca="1" si="15"/>
        <v>SEA TRANSIT</v>
      </c>
    </row>
    <row r="172" spans="2:21" s="161" customFormat="1" x14ac:dyDescent="0.35">
      <c r="B172" s="161" t="s">
        <v>288</v>
      </c>
      <c r="C172" s="162">
        <v>9817954020881</v>
      </c>
      <c r="D172" s="161" t="s">
        <v>318</v>
      </c>
      <c r="E172" s="161" t="s">
        <v>75</v>
      </c>
      <c r="H172" s="163">
        <v>46218</v>
      </c>
      <c r="I172" s="163">
        <f t="shared" si="23"/>
        <v>46228</v>
      </c>
      <c r="J172" s="163">
        <f t="shared" si="22"/>
        <v>46288</v>
      </c>
      <c r="T172" s="164" t="str">
        <f t="shared" ca="1" si="16"/>
        <v>40DAYS LEFT</v>
      </c>
      <c r="U172" s="161" t="str">
        <f t="shared" ca="1" si="15"/>
        <v>SEA TRANSIT</v>
      </c>
    </row>
    <row r="173" spans="2:21" s="161" customFormat="1" x14ac:dyDescent="0.35">
      <c r="B173" s="161" t="s">
        <v>313</v>
      </c>
      <c r="C173" s="162" t="s">
        <v>308</v>
      </c>
      <c r="D173" s="161" t="s">
        <v>261</v>
      </c>
      <c r="E173" s="161" t="s">
        <v>75</v>
      </c>
      <c r="H173" s="163">
        <v>46218</v>
      </c>
      <c r="I173" s="163">
        <f t="shared" si="23"/>
        <v>46228</v>
      </c>
      <c r="J173" s="163">
        <f t="shared" si="22"/>
        <v>46288</v>
      </c>
      <c r="T173" s="164" t="str">
        <f t="shared" ca="1" si="16"/>
        <v>40DAYS LEFT</v>
      </c>
      <c r="U173" s="161" t="str">
        <f t="shared" ca="1" si="15"/>
        <v>SEA TRANSIT</v>
      </c>
    </row>
    <row r="174" spans="2:21" s="161" customFormat="1" x14ac:dyDescent="0.35">
      <c r="B174" s="161" t="s">
        <v>314</v>
      </c>
      <c r="C174" s="162">
        <v>7018537589373</v>
      </c>
      <c r="D174" s="161" t="s">
        <v>317</v>
      </c>
      <c r="E174" s="161" t="s">
        <v>75</v>
      </c>
      <c r="H174" s="163">
        <v>46218</v>
      </c>
      <c r="I174" s="163">
        <f t="shared" si="23"/>
        <v>46228</v>
      </c>
      <c r="J174" s="163">
        <f t="shared" si="22"/>
        <v>46288</v>
      </c>
      <c r="T174" s="164" t="str">
        <f t="shared" ca="1" si="16"/>
        <v>40DAYS LEFT</v>
      </c>
      <c r="U174" s="161" t="str">
        <f t="shared" ca="1" si="15"/>
        <v>SEA TRANSIT</v>
      </c>
    </row>
    <row r="175" spans="2:21" s="161" customFormat="1" x14ac:dyDescent="0.35">
      <c r="B175" s="161" t="s">
        <v>186</v>
      </c>
      <c r="C175" s="162" t="s">
        <v>309</v>
      </c>
      <c r="D175" s="161" t="s">
        <v>62</v>
      </c>
      <c r="E175" s="161" t="s">
        <v>75</v>
      </c>
      <c r="H175" s="163">
        <v>46218</v>
      </c>
      <c r="I175" s="163">
        <f t="shared" si="23"/>
        <v>46228</v>
      </c>
      <c r="J175" s="163">
        <f t="shared" si="22"/>
        <v>46288</v>
      </c>
      <c r="T175" s="164" t="str">
        <f t="shared" ca="1" si="16"/>
        <v>40DAYS LEFT</v>
      </c>
      <c r="U175" s="161" t="str">
        <f t="shared" ca="1" si="15"/>
        <v>SEA TRANSIT</v>
      </c>
    </row>
    <row r="176" spans="2:21" s="161" customFormat="1" x14ac:dyDescent="0.35">
      <c r="B176" s="161" t="s">
        <v>485</v>
      </c>
      <c r="C176" s="162"/>
      <c r="D176" s="161" t="s">
        <v>62</v>
      </c>
      <c r="E176" s="161" t="s">
        <v>75</v>
      </c>
      <c r="H176" s="163">
        <v>46218</v>
      </c>
      <c r="I176" s="163">
        <f t="shared" si="23"/>
        <v>46228</v>
      </c>
      <c r="J176" s="163">
        <f t="shared" si="22"/>
        <v>46288</v>
      </c>
      <c r="T176" s="164" t="str">
        <f t="shared" ca="1" si="16"/>
        <v>40DAYS LEFT</v>
      </c>
      <c r="U176" s="161" t="str">
        <f t="shared" ca="1" si="15"/>
        <v>SEA TRANSIT</v>
      </c>
    </row>
    <row r="177" spans="2:21" s="161" customFormat="1" x14ac:dyDescent="0.35">
      <c r="B177" s="161" t="s">
        <v>186</v>
      </c>
      <c r="C177" s="162" t="s">
        <v>310</v>
      </c>
      <c r="D177" s="161" t="s">
        <v>316</v>
      </c>
      <c r="E177" s="161" t="s">
        <v>75</v>
      </c>
      <c r="H177" s="163">
        <v>46218</v>
      </c>
      <c r="I177" s="163">
        <f t="shared" si="23"/>
        <v>46228</v>
      </c>
      <c r="J177" s="163">
        <f t="shared" si="22"/>
        <v>46288</v>
      </c>
      <c r="T177" s="164" t="str">
        <f t="shared" ca="1" si="16"/>
        <v>40DAYS LEFT</v>
      </c>
      <c r="U177" s="161" t="str">
        <f t="shared" ca="1" si="15"/>
        <v>SEA TRANSIT</v>
      </c>
    </row>
    <row r="178" spans="2:21" s="161" customFormat="1" x14ac:dyDescent="0.35">
      <c r="B178" s="161" t="s">
        <v>314</v>
      </c>
      <c r="C178" s="162" t="s">
        <v>311</v>
      </c>
      <c r="D178" s="161" t="s">
        <v>315</v>
      </c>
      <c r="E178" s="161" t="s">
        <v>75</v>
      </c>
      <c r="H178" s="163">
        <v>46218</v>
      </c>
      <c r="I178" s="163">
        <f t="shared" si="23"/>
        <v>46228</v>
      </c>
      <c r="J178" s="163">
        <f>I178+60</f>
        <v>46288</v>
      </c>
      <c r="T178" s="164" t="str">
        <f t="shared" ca="1" si="16"/>
        <v>40DAYS LEFT</v>
      </c>
      <c r="U178" s="161" t="str">
        <f t="shared" ca="1" si="15"/>
        <v>SEA TRANSIT</v>
      </c>
    </row>
    <row r="179" spans="2:21" s="165" customFormat="1" x14ac:dyDescent="0.35">
      <c r="B179" s="165" t="s">
        <v>259</v>
      </c>
      <c r="C179" s="166">
        <v>73716851816871</v>
      </c>
      <c r="E179" s="165" t="s">
        <v>75</v>
      </c>
      <c r="H179" s="167">
        <v>46219</v>
      </c>
      <c r="I179" s="167">
        <f>H179+7+MOD(7-WEEKDAY(H179+7),7)</f>
        <v>46228</v>
      </c>
      <c r="J179" s="167">
        <f>I179+60</f>
        <v>46288</v>
      </c>
      <c r="T179" s="168" t="str">
        <f t="shared" ca="1" si="16"/>
        <v>40DAYS LEFT</v>
      </c>
      <c r="U179" s="165" t="str">
        <f t="shared" ca="1" si="15"/>
        <v>SEA TRANSIT</v>
      </c>
    </row>
    <row r="180" spans="2:21" s="165" customFormat="1" x14ac:dyDescent="0.35">
      <c r="B180" s="165" t="s">
        <v>325</v>
      </c>
      <c r="C180" s="166" t="s">
        <v>326</v>
      </c>
      <c r="E180" s="165" t="s">
        <v>128</v>
      </c>
      <c r="H180" s="167">
        <v>46219</v>
      </c>
      <c r="I180" s="167">
        <f t="shared" ref="I180:I194" si="24">H180+7+MOD(7-WEEKDAY(H180+7),7)</f>
        <v>46228</v>
      </c>
      <c r="J180" s="167">
        <f t="shared" ref="J180:J247" si="25">I180+60</f>
        <v>46288</v>
      </c>
      <c r="T180" s="168" t="str">
        <f t="shared" ca="1" si="16"/>
        <v>40DAYS LEFT</v>
      </c>
      <c r="U180" s="165" t="str">
        <f t="shared" ca="1" si="15"/>
        <v>SEA TRANSIT</v>
      </c>
    </row>
    <row r="181" spans="2:21" s="165" customFormat="1" x14ac:dyDescent="0.35">
      <c r="B181" s="165" t="s">
        <v>327</v>
      </c>
      <c r="C181" s="166"/>
      <c r="D181" s="165" t="s">
        <v>328</v>
      </c>
      <c r="E181" s="165" t="s">
        <v>75</v>
      </c>
      <c r="H181" s="167">
        <v>46219</v>
      </c>
      <c r="I181" s="167">
        <f t="shared" si="24"/>
        <v>46228</v>
      </c>
      <c r="J181" s="167">
        <f t="shared" si="25"/>
        <v>46288</v>
      </c>
      <c r="T181" s="168" t="str">
        <f t="shared" ref="T181:T244" ca="1" si="26">IF(J181&lt;TODAY(),"ARRIVED",IF(J181-TODAY()&lt;=7,"ARRIVING SOON",J181-TODAY()&amp;"DAYS LEFT"))</f>
        <v>40DAYS LEFT</v>
      </c>
      <c r="U181" s="165" t="str">
        <f t="shared" ref="U181:U235" ca="1" si="27">IF(TODAY()&gt;J181+MOD(4-WEEKDAY(J181),7),"DELIVERED AT WAREHOUSE",IF(J181-TODAY()&gt;45,"ORIGIN(CHINA)",IF(J181-TODAY()&gt;15,"SEA TRANSIT","CUSTOM CLEARANCE/PORT")))</f>
        <v>SEA TRANSIT</v>
      </c>
    </row>
    <row r="182" spans="2:21" s="165" customFormat="1" x14ac:dyDescent="0.35">
      <c r="B182" s="165" t="s">
        <v>186</v>
      </c>
      <c r="C182" s="166" t="s">
        <v>329</v>
      </c>
      <c r="D182" s="165" t="s">
        <v>330</v>
      </c>
      <c r="E182" s="165" t="s">
        <v>75</v>
      </c>
      <c r="H182" s="167">
        <v>46219</v>
      </c>
      <c r="I182" s="167">
        <f t="shared" si="24"/>
        <v>46228</v>
      </c>
      <c r="J182" s="167">
        <f t="shared" si="25"/>
        <v>46288</v>
      </c>
      <c r="T182" s="168" t="str">
        <f t="shared" ca="1" si="26"/>
        <v>40DAYS LEFT</v>
      </c>
      <c r="U182" s="165" t="str">
        <f t="shared" ca="1" si="27"/>
        <v>SEA TRANSIT</v>
      </c>
    </row>
    <row r="183" spans="2:21" s="165" customFormat="1" x14ac:dyDescent="0.35">
      <c r="B183" s="165" t="s">
        <v>186</v>
      </c>
      <c r="C183" s="166" t="s">
        <v>331</v>
      </c>
      <c r="D183" s="165" t="s">
        <v>332</v>
      </c>
      <c r="E183" s="165" t="s">
        <v>75</v>
      </c>
      <c r="H183" s="167">
        <v>46219</v>
      </c>
      <c r="I183" s="167">
        <f t="shared" si="24"/>
        <v>46228</v>
      </c>
      <c r="J183" s="167">
        <f t="shared" si="25"/>
        <v>46288</v>
      </c>
      <c r="T183" s="168" t="str">
        <f t="shared" ca="1" si="26"/>
        <v>40DAYS LEFT</v>
      </c>
      <c r="U183" s="165" t="str">
        <f t="shared" ca="1" si="27"/>
        <v>SEA TRANSIT</v>
      </c>
    </row>
    <row r="184" spans="2:21" s="165" customFormat="1" x14ac:dyDescent="0.35">
      <c r="B184" s="165" t="s">
        <v>186</v>
      </c>
      <c r="C184" s="166">
        <v>7901866344273</v>
      </c>
      <c r="D184" s="165" t="s">
        <v>332</v>
      </c>
      <c r="E184" s="165" t="s">
        <v>75</v>
      </c>
      <c r="H184" s="167">
        <v>46219</v>
      </c>
      <c r="I184" s="167">
        <f t="shared" si="24"/>
        <v>46228</v>
      </c>
      <c r="J184" s="167">
        <f t="shared" si="25"/>
        <v>46288</v>
      </c>
      <c r="T184" s="168" t="str">
        <f t="shared" ca="1" si="26"/>
        <v>40DAYS LEFT</v>
      </c>
      <c r="U184" s="165" t="str">
        <f t="shared" ca="1" si="27"/>
        <v>SEA TRANSIT</v>
      </c>
    </row>
    <row r="185" spans="2:21" s="165" customFormat="1" x14ac:dyDescent="0.35">
      <c r="B185" s="165" t="s">
        <v>333</v>
      </c>
      <c r="C185" s="166">
        <v>79018995462401</v>
      </c>
      <c r="E185" s="165" t="s">
        <v>75</v>
      </c>
      <c r="H185" s="167">
        <v>46219</v>
      </c>
      <c r="I185" s="167">
        <f t="shared" si="24"/>
        <v>46228</v>
      </c>
      <c r="J185" s="167">
        <f t="shared" si="25"/>
        <v>46288</v>
      </c>
      <c r="T185" s="168" t="str">
        <f t="shared" ca="1" si="26"/>
        <v>40DAYS LEFT</v>
      </c>
      <c r="U185" s="165" t="str">
        <f t="shared" ca="1" si="27"/>
        <v>SEA TRANSIT</v>
      </c>
    </row>
    <row r="186" spans="2:21" s="165" customFormat="1" x14ac:dyDescent="0.35">
      <c r="B186" s="165" t="s">
        <v>333</v>
      </c>
      <c r="C186" s="166"/>
      <c r="D186" s="165" t="s">
        <v>89</v>
      </c>
      <c r="E186" s="165" t="s">
        <v>75</v>
      </c>
      <c r="H186" s="167">
        <v>46219</v>
      </c>
      <c r="I186" s="167">
        <f t="shared" si="24"/>
        <v>46228</v>
      </c>
      <c r="J186" s="167">
        <f t="shared" si="25"/>
        <v>46288</v>
      </c>
      <c r="T186" s="168" t="str">
        <f t="shared" ca="1" si="26"/>
        <v>40DAYS LEFT</v>
      </c>
      <c r="U186" s="165" t="str">
        <f t="shared" ca="1" si="27"/>
        <v>SEA TRANSIT</v>
      </c>
    </row>
    <row r="187" spans="2:21" s="165" customFormat="1" x14ac:dyDescent="0.35">
      <c r="B187" s="165" t="s">
        <v>334</v>
      </c>
      <c r="C187" s="166" t="s">
        <v>335</v>
      </c>
      <c r="D187" s="165" t="s">
        <v>336</v>
      </c>
      <c r="E187" s="165" t="s">
        <v>75</v>
      </c>
      <c r="H187" s="167">
        <v>46219</v>
      </c>
      <c r="I187" s="167">
        <f t="shared" si="24"/>
        <v>46228</v>
      </c>
      <c r="J187" s="167">
        <f t="shared" si="25"/>
        <v>46288</v>
      </c>
      <c r="T187" s="168" t="str">
        <f t="shared" ca="1" si="26"/>
        <v>40DAYS LEFT</v>
      </c>
      <c r="U187" s="165" t="str">
        <f t="shared" ca="1" si="27"/>
        <v>SEA TRANSIT</v>
      </c>
    </row>
    <row r="188" spans="2:21" s="165" customFormat="1" x14ac:dyDescent="0.35">
      <c r="B188" s="165" t="s">
        <v>337</v>
      </c>
      <c r="C188" s="166">
        <v>300054669394</v>
      </c>
      <c r="D188" s="165" t="s">
        <v>338</v>
      </c>
      <c r="E188" s="165" t="s">
        <v>75</v>
      </c>
      <c r="H188" s="167">
        <v>46219</v>
      </c>
      <c r="I188" s="167">
        <f t="shared" si="24"/>
        <v>46228</v>
      </c>
      <c r="J188" s="167">
        <f t="shared" si="25"/>
        <v>46288</v>
      </c>
      <c r="T188" s="168" t="str">
        <f t="shared" ca="1" si="26"/>
        <v>40DAYS LEFT</v>
      </c>
      <c r="U188" s="165" t="str">
        <f t="shared" ca="1" si="27"/>
        <v>SEA TRANSIT</v>
      </c>
    </row>
    <row r="189" spans="2:21" s="165" customFormat="1" x14ac:dyDescent="0.35">
      <c r="B189" s="165" t="s">
        <v>110</v>
      </c>
      <c r="C189" s="166" t="s">
        <v>339</v>
      </c>
      <c r="D189" s="165" t="s">
        <v>340</v>
      </c>
      <c r="E189" s="165" t="s">
        <v>75</v>
      </c>
      <c r="H189" s="167">
        <v>46219</v>
      </c>
      <c r="I189" s="167">
        <f t="shared" si="24"/>
        <v>46228</v>
      </c>
      <c r="J189" s="167">
        <f t="shared" si="25"/>
        <v>46288</v>
      </c>
      <c r="T189" s="168" t="str">
        <f t="shared" ca="1" si="26"/>
        <v>40DAYS LEFT</v>
      </c>
      <c r="U189" s="165" t="str">
        <f t="shared" ca="1" si="27"/>
        <v>SEA TRANSIT</v>
      </c>
    </row>
    <row r="190" spans="2:21" s="165" customFormat="1" x14ac:dyDescent="0.35">
      <c r="B190" s="165" t="s">
        <v>341</v>
      </c>
      <c r="C190" s="166">
        <v>91006056069001</v>
      </c>
      <c r="D190" s="165" t="s">
        <v>261</v>
      </c>
      <c r="E190" s="165" t="s">
        <v>128</v>
      </c>
      <c r="H190" s="167">
        <v>46219</v>
      </c>
      <c r="I190" s="167">
        <f t="shared" si="24"/>
        <v>46228</v>
      </c>
      <c r="J190" s="167">
        <f t="shared" si="25"/>
        <v>46288</v>
      </c>
      <c r="T190" s="168" t="str">
        <f t="shared" ca="1" si="26"/>
        <v>40DAYS LEFT</v>
      </c>
      <c r="U190" s="165" t="str">
        <f t="shared" ca="1" si="27"/>
        <v>SEA TRANSIT</v>
      </c>
    </row>
    <row r="191" spans="2:21" s="165" customFormat="1" x14ac:dyDescent="0.35">
      <c r="B191" s="165" t="s">
        <v>186</v>
      </c>
      <c r="C191" s="166">
        <v>92977162131</v>
      </c>
      <c r="D191" s="165" t="s">
        <v>206</v>
      </c>
      <c r="E191" s="165" t="s">
        <v>75</v>
      </c>
      <c r="H191" s="167">
        <v>46219</v>
      </c>
      <c r="I191" s="167">
        <f t="shared" si="24"/>
        <v>46228</v>
      </c>
      <c r="J191" s="167">
        <f t="shared" si="25"/>
        <v>46288</v>
      </c>
      <c r="T191" s="168" t="str">
        <f t="shared" ca="1" si="26"/>
        <v>40DAYS LEFT</v>
      </c>
      <c r="U191" s="165" t="str">
        <f t="shared" ca="1" si="27"/>
        <v>SEA TRANSIT</v>
      </c>
    </row>
    <row r="192" spans="2:21" s="165" customFormat="1" x14ac:dyDescent="0.35">
      <c r="B192" s="165" t="s">
        <v>333</v>
      </c>
      <c r="C192" s="166" t="s">
        <v>342</v>
      </c>
      <c r="D192" s="165" t="s">
        <v>343</v>
      </c>
      <c r="E192" s="165" t="s">
        <v>75</v>
      </c>
      <c r="H192" s="167">
        <v>46219</v>
      </c>
      <c r="I192" s="167">
        <f t="shared" si="24"/>
        <v>46228</v>
      </c>
      <c r="J192" s="167">
        <f t="shared" si="25"/>
        <v>46288</v>
      </c>
      <c r="T192" s="168" t="str">
        <f t="shared" ca="1" si="26"/>
        <v>40DAYS LEFT</v>
      </c>
      <c r="U192" s="165" t="str">
        <f t="shared" ca="1" si="27"/>
        <v>SEA TRANSIT</v>
      </c>
    </row>
    <row r="193" spans="2:21" s="165" customFormat="1" x14ac:dyDescent="0.35">
      <c r="B193" s="165" t="s">
        <v>333</v>
      </c>
      <c r="C193" s="166">
        <v>77343176739015</v>
      </c>
      <c r="D193" s="165" t="s">
        <v>344</v>
      </c>
      <c r="E193" s="165" t="s">
        <v>75</v>
      </c>
      <c r="H193" s="167">
        <v>46219</v>
      </c>
      <c r="I193" s="167">
        <f t="shared" si="24"/>
        <v>46228</v>
      </c>
      <c r="J193" s="167">
        <f t="shared" si="25"/>
        <v>46288</v>
      </c>
      <c r="T193" s="168" t="str">
        <f t="shared" ca="1" si="26"/>
        <v>40DAYS LEFT</v>
      </c>
      <c r="U193" s="165" t="str">
        <f t="shared" ca="1" si="27"/>
        <v>SEA TRANSIT</v>
      </c>
    </row>
    <row r="194" spans="2:21" s="165" customFormat="1" x14ac:dyDescent="0.35">
      <c r="B194" s="165" t="s">
        <v>325</v>
      </c>
      <c r="C194" s="166"/>
      <c r="D194" s="165" t="s">
        <v>345</v>
      </c>
      <c r="E194" s="165" t="s">
        <v>75</v>
      </c>
      <c r="H194" s="167">
        <v>46219</v>
      </c>
      <c r="I194" s="167">
        <f t="shared" si="24"/>
        <v>46228</v>
      </c>
      <c r="J194" s="167">
        <f t="shared" si="25"/>
        <v>46288</v>
      </c>
      <c r="T194" s="168" t="str">
        <f t="shared" ca="1" si="26"/>
        <v>40DAYS LEFT</v>
      </c>
      <c r="U194" s="165" t="str">
        <f t="shared" ca="1" si="27"/>
        <v>SEA TRANSIT</v>
      </c>
    </row>
    <row r="195" spans="2:21" s="165" customFormat="1" x14ac:dyDescent="0.35">
      <c r="C195" s="166" t="s">
        <v>360</v>
      </c>
      <c r="H195" s="167"/>
      <c r="I195" s="167"/>
      <c r="J195" s="167"/>
      <c r="T195" s="168"/>
    </row>
    <row r="196" spans="2:21" s="178" customFormat="1" x14ac:dyDescent="0.35">
      <c r="B196" s="178" t="s">
        <v>241</v>
      </c>
      <c r="C196" s="179">
        <v>79123053326984</v>
      </c>
      <c r="H196" s="180">
        <v>46223</v>
      </c>
      <c r="I196" s="180">
        <f t="shared" ref="I196:I235" si="28">H196+7+MOD(7-WEEKDAY(H196+7),7)</f>
        <v>46235</v>
      </c>
      <c r="J196" s="180">
        <f t="shared" si="25"/>
        <v>46295</v>
      </c>
      <c r="T196" s="181" t="str">
        <f t="shared" ca="1" si="26"/>
        <v>47DAYS LEFT</v>
      </c>
      <c r="U196" s="178" t="str">
        <f t="shared" ca="1" si="27"/>
        <v>ORIGIN(CHINA)</v>
      </c>
    </row>
    <row r="197" spans="2:21" s="178" customFormat="1" x14ac:dyDescent="0.35">
      <c r="B197" s="178" t="s">
        <v>241</v>
      </c>
      <c r="C197" s="179" t="s">
        <v>346</v>
      </c>
      <c r="H197" s="180">
        <v>46223</v>
      </c>
      <c r="I197" s="180">
        <f t="shared" si="28"/>
        <v>46235</v>
      </c>
      <c r="J197" s="180">
        <f t="shared" si="25"/>
        <v>46295</v>
      </c>
      <c r="T197" s="181" t="str">
        <f t="shared" ca="1" si="26"/>
        <v>47DAYS LEFT</v>
      </c>
      <c r="U197" s="178" t="str">
        <f t="shared" ca="1" si="27"/>
        <v>ORIGIN(CHINA)</v>
      </c>
    </row>
    <row r="198" spans="2:21" s="178" customFormat="1" x14ac:dyDescent="0.35">
      <c r="B198" s="178" t="s">
        <v>347</v>
      </c>
      <c r="C198" s="179" t="s">
        <v>348</v>
      </c>
      <c r="H198" s="180">
        <v>46223</v>
      </c>
      <c r="I198" s="180">
        <f t="shared" si="28"/>
        <v>46235</v>
      </c>
      <c r="J198" s="180">
        <f t="shared" si="25"/>
        <v>46295</v>
      </c>
      <c r="T198" s="181" t="str">
        <f t="shared" ca="1" si="26"/>
        <v>47DAYS LEFT</v>
      </c>
      <c r="U198" s="178" t="str">
        <f t="shared" ca="1" si="27"/>
        <v>ORIGIN(CHINA)</v>
      </c>
    </row>
    <row r="199" spans="2:21" s="178" customFormat="1" x14ac:dyDescent="0.35">
      <c r="B199" s="178" t="s">
        <v>347</v>
      </c>
      <c r="C199" s="179" t="s">
        <v>349</v>
      </c>
      <c r="H199" s="180">
        <v>46223</v>
      </c>
      <c r="I199" s="180">
        <f t="shared" si="28"/>
        <v>46235</v>
      </c>
      <c r="J199" s="180">
        <f t="shared" si="25"/>
        <v>46295</v>
      </c>
      <c r="T199" s="181" t="str">
        <f t="shared" ca="1" si="26"/>
        <v>47DAYS LEFT</v>
      </c>
      <c r="U199" s="178" t="str">
        <f t="shared" ca="1" si="27"/>
        <v>ORIGIN(CHINA)</v>
      </c>
    </row>
    <row r="200" spans="2:21" s="178" customFormat="1" x14ac:dyDescent="0.35">
      <c r="B200" s="178" t="s">
        <v>350</v>
      </c>
      <c r="C200" s="179" t="s">
        <v>351</v>
      </c>
      <c r="H200" s="180">
        <v>46223</v>
      </c>
      <c r="I200" s="180">
        <f t="shared" si="28"/>
        <v>46235</v>
      </c>
      <c r="J200" s="180">
        <f t="shared" si="25"/>
        <v>46295</v>
      </c>
      <c r="T200" s="181" t="str">
        <f t="shared" ca="1" si="26"/>
        <v>47DAYS LEFT</v>
      </c>
      <c r="U200" s="178" t="str">
        <f t="shared" ca="1" si="27"/>
        <v>ORIGIN(CHINA)</v>
      </c>
    </row>
    <row r="201" spans="2:21" s="178" customFormat="1" x14ac:dyDescent="0.35">
      <c r="B201" s="178" t="s">
        <v>347</v>
      </c>
      <c r="C201" s="179" t="s">
        <v>352</v>
      </c>
      <c r="H201" s="180">
        <v>46223</v>
      </c>
      <c r="I201" s="180">
        <f t="shared" si="28"/>
        <v>46235</v>
      </c>
      <c r="J201" s="180">
        <f t="shared" si="25"/>
        <v>46295</v>
      </c>
      <c r="T201" s="181" t="str">
        <f t="shared" ca="1" si="26"/>
        <v>47DAYS LEFT</v>
      </c>
      <c r="U201" s="178" t="str">
        <f t="shared" ca="1" si="27"/>
        <v>ORIGIN(CHINA)</v>
      </c>
    </row>
    <row r="202" spans="2:21" s="178" customFormat="1" x14ac:dyDescent="0.35">
      <c r="B202" s="178" t="s">
        <v>353</v>
      </c>
      <c r="C202" s="179">
        <v>777427915467797</v>
      </c>
      <c r="H202" s="180">
        <v>46223</v>
      </c>
      <c r="I202" s="180">
        <f t="shared" si="28"/>
        <v>46235</v>
      </c>
      <c r="J202" s="180">
        <f t="shared" si="25"/>
        <v>46295</v>
      </c>
      <c r="T202" s="181" t="str">
        <f t="shared" ca="1" si="26"/>
        <v>47DAYS LEFT</v>
      </c>
      <c r="U202" s="178" t="str">
        <f t="shared" ca="1" si="27"/>
        <v>ORIGIN(CHINA)</v>
      </c>
    </row>
    <row r="203" spans="2:21" s="178" customFormat="1" x14ac:dyDescent="0.35">
      <c r="B203" s="178" t="s">
        <v>350</v>
      </c>
      <c r="C203" s="179" t="s">
        <v>351</v>
      </c>
      <c r="H203" s="180">
        <v>46223</v>
      </c>
      <c r="I203" s="180">
        <f t="shared" si="28"/>
        <v>46235</v>
      </c>
      <c r="J203" s="180">
        <f t="shared" si="25"/>
        <v>46295</v>
      </c>
      <c r="T203" s="181" t="str">
        <f t="shared" ca="1" si="26"/>
        <v>47DAYS LEFT</v>
      </c>
      <c r="U203" s="178" t="str">
        <f t="shared" ca="1" si="27"/>
        <v>ORIGIN(CHINA)</v>
      </c>
    </row>
    <row r="204" spans="2:21" s="178" customFormat="1" x14ac:dyDescent="0.35">
      <c r="B204" s="178" t="s">
        <v>347</v>
      </c>
      <c r="C204" s="179" t="s">
        <v>354</v>
      </c>
      <c r="H204" s="180">
        <v>46223</v>
      </c>
      <c r="I204" s="180">
        <f t="shared" si="28"/>
        <v>46235</v>
      </c>
      <c r="J204" s="180">
        <f t="shared" si="25"/>
        <v>46295</v>
      </c>
      <c r="T204" s="181" t="str">
        <f t="shared" ca="1" si="26"/>
        <v>47DAYS LEFT</v>
      </c>
      <c r="U204" s="178" t="str">
        <f t="shared" ca="1" si="27"/>
        <v>ORIGIN(CHINA)</v>
      </c>
    </row>
    <row r="205" spans="2:21" s="178" customFormat="1" x14ac:dyDescent="0.35">
      <c r="B205" s="178" t="s">
        <v>241</v>
      </c>
      <c r="C205" s="179">
        <v>773432158123794</v>
      </c>
      <c r="H205" s="180">
        <v>46223</v>
      </c>
      <c r="I205" s="180">
        <f t="shared" si="28"/>
        <v>46235</v>
      </c>
      <c r="J205" s="180">
        <f t="shared" si="25"/>
        <v>46295</v>
      </c>
      <c r="T205" s="181" t="str">
        <f t="shared" ca="1" si="26"/>
        <v>47DAYS LEFT</v>
      </c>
      <c r="U205" s="178" t="str">
        <f t="shared" ca="1" si="27"/>
        <v>ORIGIN(CHINA)</v>
      </c>
    </row>
    <row r="206" spans="2:21" s="178" customFormat="1" x14ac:dyDescent="0.35">
      <c r="B206" s="178" t="s">
        <v>241</v>
      </c>
      <c r="C206" s="179">
        <v>79123053328260</v>
      </c>
      <c r="H206" s="180">
        <v>46223</v>
      </c>
      <c r="I206" s="180">
        <f t="shared" si="28"/>
        <v>46235</v>
      </c>
      <c r="J206" s="180">
        <f t="shared" si="25"/>
        <v>46295</v>
      </c>
      <c r="T206" s="181" t="str">
        <f t="shared" ca="1" si="26"/>
        <v>47DAYS LEFT</v>
      </c>
      <c r="U206" s="178" t="str">
        <f t="shared" ca="1" si="27"/>
        <v>ORIGIN(CHINA)</v>
      </c>
    </row>
    <row r="207" spans="2:21" s="178" customFormat="1" x14ac:dyDescent="0.35">
      <c r="B207" s="178" t="s">
        <v>241</v>
      </c>
      <c r="C207" s="179">
        <v>79123053326984</v>
      </c>
      <c r="H207" s="180">
        <v>46223</v>
      </c>
      <c r="I207" s="180">
        <f t="shared" si="28"/>
        <v>46235</v>
      </c>
      <c r="J207" s="180">
        <f t="shared" si="25"/>
        <v>46295</v>
      </c>
      <c r="T207" s="181" t="str">
        <f t="shared" ca="1" si="26"/>
        <v>47DAYS LEFT</v>
      </c>
      <c r="U207" s="178" t="str">
        <f t="shared" ca="1" si="27"/>
        <v>ORIGIN(CHINA)</v>
      </c>
    </row>
    <row r="208" spans="2:21" s="178" customFormat="1" x14ac:dyDescent="0.35">
      <c r="B208" s="178" t="s">
        <v>350</v>
      </c>
      <c r="C208" s="179">
        <v>77019702875553</v>
      </c>
      <c r="H208" s="180">
        <v>46223</v>
      </c>
      <c r="I208" s="180">
        <f t="shared" si="28"/>
        <v>46235</v>
      </c>
      <c r="J208" s="180">
        <f t="shared" si="25"/>
        <v>46295</v>
      </c>
      <c r="T208" s="181" t="str">
        <f t="shared" ca="1" si="26"/>
        <v>47DAYS LEFT</v>
      </c>
      <c r="U208" s="178" t="str">
        <f t="shared" ca="1" si="27"/>
        <v>ORIGIN(CHINA)</v>
      </c>
    </row>
    <row r="209" spans="2:21" s="178" customFormat="1" x14ac:dyDescent="0.35">
      <c r="B209" s="178" t="s">
        <v>350</v>
      </c>
      <c r="C209" s="179">
        <v>773432329158789</v>
      </c>
      <c r="H209" s="180">
        <v>46223</v>
      </c>
      <c r="I209" s="180">
        <f t="shared" si="28"/>
        <v>46235</v>
      </c>
      <c r="J209" s="180">
        <f t="shared" si="25"/>
        <v>46295</v>
      </c>
      <c r="T209" s="181" t="str">
        <f t="shared" ca="1" si="26"/>
        <v>47DAYS LEFT</v>
      </c>
      <c r="U209" s="178" t="str">
        <f t="shared" ca="1" si="27"/>
        <v>ORIGIN(CHINA)</v>
      </c>
    </row>
    <row r="210" spans="2:21" s="178" customFormat="1" x14ac:dyDescent="0.35">
      <c r="B210" s="178" t="s">
        <v>355</v>
      </c>
      <c r="C210" s="179"/>
      <c r="H210" s="180">
        <v>46223</v>
      </c>
      <c r="I210" s="180">
        <f t="shared" si="28"/>
        <v>46235</v>
      </c>
      <c r="J210" s="180">
        <f t="shared" si="25"/>
        <v>46295</v>
      </c>
      <c r="T210" s="181" t="str">
        <f t="shared" ca="1" si="26"/>
        <v>47DAYS LEFT</v>
      </c>
      <c r="U210" s="178" t="str">
        <f t="shared" ca="1" si="27"/>
        <v>ORIGIN(CHINA)</v>
      </c>
    </row>
    <row r="211" spans="2:21" s="178" customFormat="1" x14ac:dyDescent="0.35">
      <c r="B211" s="178" t="s">
        <v>146</v>
      </c>
      <c r="C211" s="179">
        <v>79019709015672</v>
      </c>
      <c r="H211" s="180">
        <v>46223</v>
      </c>
      <c r="I211" s="180">
        <f t="shared" si="28"/>
        <v>46235</v>
      </c>
      <c r="J211" s="180">
        <f t="shared" si="25"/>
        <v>46295</v>
      </c>
      <c r="T211" s="181" t="str">
        <f t="shared" ca="1" si="26"/>
        <v>47DAYS LEFT</v>
      </c>
      <c r="U211" s="178" t="str">
        <f t="shared" ca="1" si="27"/>
        <v>ORIGIN(CHINA)</v>
      </c>
    </row>
    <row r="212" spans="2:21" s="178" customFormat="1" x14ac:dyDescent="0.35">
      <c r="B212" s="178" t="s">
        <v>355</v>
      </c>
      <c r="C212" s="179"/>
      <c r="D212" s="178" t="s">
        <v>357</v>
      </c>
      <c r="H212" s="180">
        <v>46223</v>
      </c>
      <c r="I212" s="180">
        <f t="shared" si="28"/>
        <v>46235</v>
      </c>
      <c r="J212" s="180">
        <f t="shared" si="25"/>
        <v>46295</v>
      </c>
      <c r="T212" s="181" t="str">
        <f t="shared" ca="1" si="26"/>
        <v>47DAYS LEFT</v>
      </c>
      <c r="U212" s="178" t="str">
        <f t="shared" ca="1" si="27"/>
        <v>ORIGIN(CHINA)</v>
      </c>
    </row>
    <row r="213" spans="2:21" s="178" customFormat="1" x14ac:dyDescent="0.35">
      <c r="B213" s="178" t="s">
        <v>347</v>
      </c>
      <c r="C213" s="179" t="s">
        <v>361</v>
      </c>
      <c r="D213" s="178" t="s">
        <v>362</v>
      </c>
      <c r="H213" s="180">
        <v>46223</v>
      </c>
      <c r="I213" s="180">
        <f t="shared" si="28"/>
        <v>46235</v>
      </c>
      <c r="J213" s="180">
        <f t="shared" si="25"/>
        <v>46295</v>
      </c>
      <c r="T213" s="181" t="str">
        <f t="shared" ca="1" si="26"/>
        <v>47DAYS LEFT</v>
      </c>
      <c r="U213" s="178" t="str">
        <f t="shared" ca="1" si="27"/>
        <v>ORIGIN(CHINA)</v>
      </c>
    </row>
    <row r="214" spans="2:21" s="178" customFormat="1" x14ac:dyDescent="0.35">
      <c r="B214" s="178" t="s">
        <v>347</v>
      </c>
      <c r="C214" s="179">
        <v>773432354066685</v>
      </c>
      <c r="D214" s="178" t="s">
        <v>363</v>
      </c>
      <c r="H214" s="180">
        <v>46223</v>
      </c>
      <c r="I214" s="180">
        <f t="shared" si="28"/>
        <v>46235</v>
      </c>
      <c r="J214" s="180">
        <f t="shared" si="25"/>
        <v>46295</v>
      </c>
      <c r="T214" s="181" t="str">
        <f t="shared" ca="1" si="26"/>
        <v>47DAYS LEFT</v>
      </c>
      <c r="U214" s="178" t="str">
        <f t="shared" ca="1" si="27"/>
        <v>ORIGIN(CHINA)</v>
      </c>
    </row>
    <row r="215" spans="2:21" s="178" customFormat="1" x14ac:dyDescent="0.35">
      <c r="B215" s="178" t="s">
        <v>364</v>
      </c>
      <c r="C215" s="179" t="s">
        <v>365</v>
      </c>
      <c r="D215" s="178" t="s">
        <v>366</v>
      </c>
      <c r="H215" s="180">
        <v>46223</v>
      </c>
      <c r="I215" s="180">
        <f t="shared" si="28"/>
        <v>46235</v>
      </c>
      <c r="J215" s="180">
        <f t="shared" si="25"/>
        <v>46295</v>
      </c>
      <c r="T215" s="181" t="str">
        <f t="shared" ca="1" si="26"/>
        <v>47DAYS LEFT</v>
      </c>
      <c r="U215" s="178" t="str">
        <f t="shared" ca="1" si="27"/>
        <v>ORIGIN(CHINA)</v>
      </c>
    </row>
    <row r="216" spans="2:21" s="178" customFormat="1" x14ac:dyDescent="0.35">
      <c r="B216" s="178" t="s">
        <v>347</v>
      </c>
      <c r="C216" s="179" t="s">
        <v>367</v>
      </c>
      <c r="H216" s="180">
        <v>46223</v>
      </c>
      <c r="I216" s="180">
        <f t="shared" si="28"/>
        <v>46235</v>
      </c>
      <c r="J216" s="180">
        <f t="shared" si="25"/>
        <v>46295</v>
      </c>
      <c r="T216" s="181" t="str">
        <f t="shared" ca="1" si="26"/>
        <v>47DAYS LEFT</v>
      </c>
      <c r="U216" s="178" t="str">
        <f t="shared" ca="1" si="27"/>
        <v>ORIGIN(CHINA)</v>
      </c>
    </row>
    <row r="217" spans="2:21" s="178" customFormat="1" x14ac:dyDescent="0.35">
      <c r="B217" s="178" t="s">
        <v>241</v>
      </c>
      <c r="C217" s="179" t="s">
        <v>368</v>
      </c>
      <c r="D217" s="178" t="s">
        <v>369</v>
      </c>
      <c r="H217" s="180">
        <v>46223</v>
      </c>
      <c r="I217" s="180">
        <f t="shared" si="28"/>
        <v>46235</v>
      </c>
      <c r="J217" s="180">
        <f t="shared" si="25"/>
        <v>46295</v>
      </c>
      <c r="T217" s="181" t="str">
        <f t="shared" ca="1" si="26"/>
        <v>47DAYS LEFT</v>
      </c>
      <c r="U217" s="178" t="str">
        <f t="shared" ca="1" si="27"/>
        <v>ORIGIN(CHINA)</v>
      </c>
    </row>
    <row r="218" spans="2:21" s="178" customFormat="1" x14ac:dyDescent="0.35">
      <c r="B218" s="178" t="s">
        <v>146</v>
      </c>
      <c r="C218" s="179">
        <v>7901931993523</v>
      </c>
      <c r="D218" s="178" t="s">
        <v>370</v>
      </c>
      <c r="H218" s="180">
        <v>46223</v>
      </c>
      <c r="I218" s="180">
        <f t="shared" si="28"/>
        <v>46235</v>
      </c>
      <c r="J218" s="180">
        <f t="shared" si="25"/>
        <v>46295</v>
      </c>
      <c r="T218" s="181" t="str">
        <f t="shared" ca="1" si="26"/>
        <v>47DAYS LEFT</v>
      </c>
      <c r="U218" s="178" t="str">
        <f t="shared" ca="1" si="27"/>
        <v>ORIGIN(CHINA)</v>
      </c>
    </row>
    <row r="219" spans="2:21" s="178" customFormat="1" x14ac:dyDescent="0.35">
      <c r="B219" s="178" t="s">
        <v>347</v>
      </c>
      <c r="C219" s="179">
        <v>79123417616563</v>
      </c>
      <c r="D219" s="178" t="s">
        <v>371</v>
      </c>
      <c r="H219" s="180">
        <v>46223</v>
      </c>
      <c r="I219" s="180">
        <f t="shared" si="28"/>
        <v>46235</v>
      </c>
      <c r="J219" s="180">
        <f t="shared" si="25"/>
        <v>46295</v>
      </c>
      <c r="T219" s="181" t="str">
        <f t="shared" ca="1" si="26"/>
        <v>47DAYS LEFT</v>
      </c>
      <c r="U219" s="178" t="str">
        <f t="shared" ca="1" si="27"/>
        <v>ORIGIN(CHINA)</v>
      </c>
    </row>
    <row r="220" spans="2:21" s="182" customFormat="1" x14ac:dyDescent="0.35">
      <c r="B220" s="182" t="s">
        <v>358</v>
      </c>
      <c r="C220" s="183">
        <v>465505215991896</v>
      </c>
      <c r="E220" s="182" t="s">
        <v>128</v>
      </c>
      <c r="H220" s="184">
        <v>46224</v>
      </c>
      <c r="I220" s="184">
        <f t="shared" si="28"/>
        <v>46235</v>
      </c>
      <c r="J220" s="184">
        <f t="shared" si="25"/>
        <v>46295</v>
      </c>
      <c r="T220" s="185" t="str">
        <f t="shared" ca="1" si="26"/>
        <v>47DAYS LEFT</v>
      </c>
      <c r="U220" s="182" t="str">
        <f t="shared" ca="1" si="27"/>
        <v>ORIGIN(CHINA)</v>
      </c>
    </row>
    <row r="221" spans="2:21" s="186" customFormat="1" x14ac:dyDescent="0.35">
      <c r="B221" s="186" t="s">
        <v>358</v>
      </c>
      <c r="C221" s="187">
        <v>79121542874496</v>
      </c>
      <c r="E221" s="186" t="s">
        <v>128</v>
      </c>
      <c r="H221" s="188">
        <v>46224</v>
      </c>
      <c r="I221" s="188">
        <f t="shared" si="28"/>
        <v>46235</v>
      </c>
      <c r="J221" s="188">
        <f t="shared" si="25"/>
        <v>46295</v>
      </c>
      <c r="T221" s="189" t="str">
        <f t="shared" ca="1" si="26"/>
        <v>47DAYS LEFT</v>
      </c>
      <c r="U221" s="186" t="str">
        <f t="shared" ca="1" si="27"/>
        <v>ORIGIN(CHINA)</v>
      </c>
    </row>
    <row r="222" spans="2:21" s="186" customFormat="1" x14ac:dyDescent="0.35">
      <c r="B222" s="186" t="s">
        <v>241</v>
      </c>
      <c r="C222" s="187">
        <v>465515986349043</v>
      </c>
      <c r="H222" s="188">
        <v>46224</v>
      </c>
      <c r="I222" s="188">
        <f t="shared" si="28"/>
        <v>46235</v>
      </c>
      <c r="J222" s="188">
        <f t="shared" si="25"/>
        <v>46295</v>
      </c>
      <c r="T222" s="189" t="str">
        <f t="shared" ca="1" si="26"/>
        <v>47DAYS LEFT</v>
      </c>
      <c r="U222" s="186" t="str">
        <f t="shared" ca="1" si="27"/>
        <v>ORIGIN(CHINA)</v>
      </c>
    </row>
    <row r="223" spans="2:21" s="186" customFormat="1" x14ac:dyDescent="0.35">
      <c r="B223" s="186" t="s">
        <v>358</v>
      </c>
      <c r="C223" s="187">
        <v>465515986107603</v>
      </c>
      <c r="E223" s="186" t="s">
        <v>128</v>
      </c>
      <c r="H223" s="188">
        <v>46224</v>
      </c>
      <c r="I223" s="188">
        <f t="shared" si="28"/>
        <v>46235</v>
      </c>
      <c r="J223" s="188">
        <f t="shared" si="25"/>
        <v>46295</v>
      </c>
      <c r="T223" s="189" t="str">
        <f t="shared" ca="1" si="26"/>
        <v>47DAYS LEFT</v>
      </c>
      <c r="U223" s="186" t="str">
        <f t="shared" ca="1" si="27"/>
        <v>ORIGIN(CHINA)</v>
      </c>
    </row>
    <row r="224" spans="2:21" s="186" customFormat="1" x14ac:dyDescent="0.35">
      <c r="B224" s="186" t="s">
        <v>358</v>
      </c>
      <c r="C224" s="187" t="s">
        <v>356</v>
      </c>
      <c r="E224" s="186" t="s">
        <v>128</v>
      </c>
      <c r="H224" s="188">
        <v>46224</v>
      </c>
      <c r="I224" s="188">
        <f t="shared" si="28"/>
        <v>46235</v>
      </c>
      <c r="J224" s="188">
        <f t="shared" si="25"/>
        <v>46295</v>
      </c>
      <c r="T224" s="189" t="str">
        <f t="shared" ca="1" si="26"/>
        <v>47DAYS LEFT</v>
      </c>
      <c r="U224" s="186" t="str">
        <f t="shared" ca="1" si="27"/>
        <v>ORIGIN(CHINA)</v>
      </c>
    </row>
    <row r="225" spans="2:21" x14ac:dyDescent="0.35">
      <c r="B225" s="115" t="s">
        <v>347</v>
      </c>
      <c r="C225" s="117">
        <v>465512144590319</v>
      </c>
      <c r="H225" s="116">
        <v>46224</v>
      </c>
      <c r="I225" s="116">
        <f t="shared" si="28"/>
        <v>46235</v>
      </c>
      <c r="J225" s="116">
        <f t="shared" si="25"/>
        <v>46295</v>
      </c>
      <c r="T225" s="118" t="str">
        <f t="shared" ca="1" si="26"/>
        <v>47DAYS LEFT</v>
      </c>
      <c r="U225" s="115" t="str">
        <f t="shared" ca="1" si="27"/>
        <v>ORIGIN(CHINA)</v>
      </c>
    </row>
    <row r="226" spans="2:21" x14ac:dyDescent="0.35">
      <c r="B226" s="115" t="s">
        <v>350</v>
      </c>
      <c r="C226" s="117" t="s">
        <v>372</v>
      </c>
      <c r="D226" s="115" t="s">
        <v>373</v>
      </c>
      <c r="H226" s="116">
        <v>46224</v>
      </c>
      <c r="I226" s="116">
        <f t="shared" si="28"/>
        <v>46235</v>
      </c>
      <c r="J226" s="116">
        <f t="shared" si="25"/>
        <v>46295</v>
      </c>
      <c r="T226" s="118" t="str">
        <f t="shared" ca="1" si="26"/>
        <v>47DAYS LEFT</v>
      </c>
      <c r="U226" s="115" t="str">
        <f t="shared" ca="1" si="27"/>
        <v>ORIGIN(CHINA)</v>
      </c>
    </row>
    <row r="227" spans="2:21" x14ac:dyDescent="0.35">
      <c r="B227" s="115" t="s">
        <v>374</v>
      </c>
      <c r="C227" s="117">
        <v>888073471820</v>
      </c>
      <c r="D227" s="115" t="s">
        <v>62</v>
      </c>
      <c r="E227" s="115" t="s">
        <v>128</v>
      </c>
      <c r="H227" s="116">
        <v>46224</v>
      </c>
      <c r="I227" s="116">
        <f t="shared" si="28"/>
        <v>46235</v>
      </c>
      <c r="J227" s="116">
        <f t="shared" si="25"/>
        <v>46295</v>
      </c>
      <c r="T227" s="118" t="str">
        <f t="shared" ca="1" si="26"/>
        <v>47DAYS LEFT</v>
      </c>
      <c r="U227" s="115" t="str">
        <f t="shared" ca="1" si="27"/>
        <v>ORIGIN(CHINA)</v>
      </c>
    </row>
    <row r="228" spans="2:21" x14ac:dyDescent="0.35">
      <c r="B228" s="115" t="s">
        <v>364</v>
      </c>
      <c r="C228" s="117" t="s">
        <v>375</v>
      </c>
      <c r="D228" s="115" t="s">
        <v>376</v>
      </c>
      <c r="H228" s="116">
        <v>46224</v>
      </c>
      <c r="I228" s="116">
        <f t="shared" si="28"/>
        <v>46235</v>
      </c>
      <c r="J228" s="116">
        <f t="shared" si="25"/>
        <v>46295</v>
      </c>
      <c r="T228" s="118" t="str">
        <f t="shared" ca="1" si="26"/>
        <v>47DAYS LEFT</v>
      </c>
      <c r="U228" s="115" t="str">
        <f t="shared" ca="1" si="27"/>
        <v>ORIGIN(CHINA)</v>
      </c>
    </row>
    <row r="229" spans="2:21" x14ac:dyDescent="0.35">
      <c r="B229" s="115" t="s">
        <v>364</v>
      </c>
      <c r="C229" s="117">
        <v>465510243928053</v>
      </c>
      <c r="D229" s="115" t="s">
        <v>377</v>
      </c>
      <c r="H229" s="116">
        <v>46224</v>
      </c>
      <c r="I229" s="116">
        <f t="shared" si="28"/>
        <v>46235</v>
      </c>
      <c r="J229" s="116">
        <f t="shared" si="25"/>
        <v>46295</v>
      </c>
      <c r="T229" s="118" t="str">
        <f t="shared" ca="1" si="26"/>
        <v>47DAYS LEFT</v>
      </c>
      <c r="U229" s="115" t="str">
        <f t="shared" ca="1" si="27"/>
        <v>ORIGIN(CHINA)</v>
      </c>
    </row>
    <row r="230" spans="2:21" x14ac:dyDescent="0.35">
      <c r="B230" s="115" t="s">
        <v>347</v>
      </c>
      <c r="C230" s="117">
        <v>465517593743431</v>
      </c>
      <c r="H230" s="116">
        <v>46224</v>
      </c>
      <c r="I230" s="116">
        <f t="shared" si="28"/>
        <v>46235</v>
      </c>
      <c r="J230" s="116">
        <f t="shared" si="25"/>
        <v>46295</v>
      </c>
      <c r="T230" s="118" t="str">
        <f t="shared" ca="1" si="26"/>
        <v>47DAYS LEFT</v>
      </c>
      <c r="U230" s="115" t="str">
        <f t="shared" ca="1" si="27"/>
        <v>ORIGIN(CHINA)</v>
      </c>
    </row>
    <row r="231" spans="2:21" x14ac:dyDescent="0.35">
      <c r="B231" s="115" t="s">
        <v>378</v>
      </c>
      <c r="C231" s="117">
        <v>777428804668645</v>
      </c>
      <c r="D231" s="115" t="s">
        <v>379</v>
      </c>
      <c r="H231" s="116">
        <v>46224</v>
      </c>
      <c r="I231" s="116">
        <f t="shared" si="28"/>
        <v>46235</v>
      </c>
      <c r="J231" s="116">
        <f t="shared" si="25"/>
        <v>46295</v>
      </c>
      <c r="T231" s="118" t="str">
        <f t="shared" ca="1" si="26"/>
        <v>47DAYS LEFT</v>
      </c>
      <c r="U231" s="115" t="str">
        <f t="shared" ca="1" si="27"/>
        <v>ORIGIN(CHINA)</v>
      </c>
    </row>
    <row r="232" spans="2:21" x14ac:dyDescent="0.35">
      <c r="B232" s="115" t="s">
        <v>380</v>
      </c>
      <c r="C232" s="117" t="s">
        <v>381</v>
      </c>
      <c r="D232" s="115" t="s">
        <v>382</v>
      </c>
      <c r="H232" s="116">
        <v>46224</v>
      </c>
      <c r="I232" s="116">
        <f t="shared" si="28"/>
        <v>46235</v>
      </c>
      <c r="J232" s="116">
        <f t="shared" si="25"/>
        <v>46295</v>
      </c>
      <c r="T232" s="118" t="str">
        <f t="shared" ca="1" si="26"/>
        <v>47DAYS LEFT</v>
      </c>
      <c r="U232" s="115" t="str">
        <f t="shared" ca="1" si="27"/>
        <v>ORIGIN(CHINA)</v>
      </c>
    </row>
    <row r="233" spans="2:21" x14ac:dyDescent="0.35">
      <c r="B233" s="115" t="s">
        <v>380</v>
      </c>
      <c r="C233" s="117" t="s">
        <v>383</v>
      </c>
      <c r="D233" s="115" t="s">
        <v>384</v>
      </c>
      <c r="H233" s="116">
        <v>46224</v>
      </c>
      <c r="I233" s="116">
        <f t="shared" si="28"/>
        <v>46235</v>
      </c>
      <c r="J233" s="116">
        <f t="shared" si="25"/>
        <v>46295</v>
      </c>
      <c r="T233" s="118" t="str">
        <f t="shared" ca="1" si="26"/>
        <v>47DAYS LEFT</v>
      </c>
      <c r="U233" s="115" t="str">
        <f t="shared" ca="1" si="27"/>
        <v>ORIGIN(CHINA)</v>
      </c>
    </row>
    <row r="234" spans="2:21" x14ac:dyDescent="0.35">
      <c r="B234" s="115" t="s">
        <v>160</v>
      </c>
      <c r="C234" s="117" t="s">
        <v>385</v>
      </c>
      <c r="H234" s="116">
        <v>46224</v>
      </c>
      <c r="I234" s="116">
        <f t="shared" si="28"/>
        <v>46235</v>
      </c>
      <c r="J234" s="116">
        <f t="shared" si="25"/>
        <v>46295</v>
      </c>
      <c r="T234" s="118" t="str">
        <f t="shared" ca="1" si="26"/>
        <v>47DAYS LEFT</v>
      </c>
      <c r="U234" s="115" t="str">
        <f t="shared" ca="1" si="27"/>
        <v>ORIGIN(CHINA)</v>
      </c>
    </row>
    <row r="235" spans="2:21" x14ac:dyDescent="0.35">
      <c r="B235" s="115" t="s">
        <v>160</v>
      </c>
      <c r="C235" s="117">
        <v>79019375589647</v>
      </c>
      <c r="D235" s="115" t="s">
        <v>386</v>
      </c>
      <c r="H235" s="116">
        <v>46224</v>
      </c>
      <c r="I235" s="116">
        <f t="shared" si="28"/>
        <v>46235</v>
      </c>
      <c r="J235" s="116">
        <f t="shared" si="25"/>
        <v>46295</v>
      </c>
      <c r="T235" s="118" t="str">
        <f t="shared" ca="1" si="26"/>
        <v>47DAYS LEFT</v>
      </c>
      <c r="U235" s="115" t="str">
        <f t="shared" ca="1" si="27"/>
        <v>ORIGIN(CHINA)</v>
      </c>
    </row>
    <row r="236" spans="2:21" s="190" customFormat="1" ht="21" customHeight="1" x14ac:dyDescent="0.35">
      <c r="B236" s="190" t="s">
        <v>241</v>
      </c>
      <c r="C236" s="191" t="s">
        <v>359</v>
      </c>
      <c r="H236" s="192">
        <v>46225</v>
      </c>
      <c r="I236" s="116">
        <f t="shared" ref="I236:I275" si="29">H236+7+MOD(7-WEEKDAY(H236+7),7)</f>
        <v>46235</v>
      </c>
      <c r="J236" s="116">
        <f t="shared" si="25"/>
        <v>46295</v>
      </c>
      <c r="T236" s="118" t="str">
        <f t="shared" ca="1" si="26"/>
        <v>47DAYS LEFT</v>
      </c>
    </row>
    <row r="237" spans="2:21" s="190" customFormat="1" x14ac:dyDescent="0.35">
      <c r="B237" s="190" t="s">
        <v>160</v>
      </c>
      <c r="C237" s="191" t="s">
        <v>387</v>
      </c>
      <c r="D237" s="190" t="s">
        <v>373</v>
      </c>
      <c r="H237" s="192">
        <v>46225</v>
      </c>
      <c r="I237" s="116">
        <f t="shared" si="29"/>
        <v>46235</v>
      </c>
      <c r="J237" s="116">
        <f t="shared" si="25"/>
        <v>46295</v>
      </c>
      <c r="T237" s="118" t="str">
        <f t="shared" ca="1" si="26"/>
        <v>47DAYS LEFT</v>
      </c>
    </row>
    <row r="238" spans="2:21" s="190" customFormat="1" x14ac:dyDescent="0.35">
      <c r="B238" s="190" t="s">
        <v>380</v>
      </c>
      <c r="C238" s="191">
        <v>79020051360923</v>
      </c>
      <c r="D238" s="190" t="s">
        <v>388</v>
      </c>
      <c r="H238" s="192">
        <v>46225</v>
      </c>
      <c r="I238" s="116">
        <f t="shared" si="29"/>
        <v>46235</v>
      </c>
      <c r="J238" s="116">
        <f t="shared" si="25"/>
        <v>46295</v>
      </c>
      <c r="T238" s="118" t="str">
        <f t="shared" ca="1" si="26"/>
        <v>47DAYS LEFT</v>
      </c>
    </row>
    <row r="239" spans="2:21" s="190" customFormat="1" x14ac:dyDescent="0.35">
      <c r="B239" s="190" t="s">
        <v>380</v>
      </c>
      <c r="C239" s="191" t="s">
        <v>389</v>
      </c>
      <c r="D239" s="190" t="s">
        <v>390</v>
      </c>
      <c r="H239" s="192">
        <v>46225</v>
      </c>
      <c r="I239" s="116">
        <f t="shared" si="29"/>
        <v>46235</v>
      </c>
      <c r="J239" s="116">
        <f t="shared" si="25"/>
        <v>46295</v>
      </c>
      <c r="T239" s="118" t="str">
        <f t="shared" ca="1" si="26"/>
        <v>47DAYS LEFT</v>
      </c>
    </row>
    <row r="240" spans="2:21" s="190" customFormat="1" x14ac:dyDescent="0.35">
      <c r="B240" s="190" t="s">
        <v>380</v>
      </c>
      <c r="C240" s="191" t="s">
        <v>391</v>
      </c>
      <c r="D240" s="190" t="s">
        <v>62</v>
      </c>
      <c r="H240" s="192">
        <v>46225</v>
      </c>
      <c r="I240" s="116">
        <f t="shared" si="29"/>
        <v>46235</v>
      </c>
      <c r="J240" s="116">
        <f t="shared" si="25"/>
        <v>46295</v>
      </c>
      <c r="T240" s="118" t="str">
        <f t="shared" ca="1" si="26"/>
        <v>47DAYS LEFT</v>
      </c>
    </row>
    <row r="241" spans="2:20" s="190" customFormat="1" x14ac:dyDescent="0.35">
      <c r="B241" s="190" t="s">
        <v>347</v>
      </c>
      <c r="C241" s="191">
        <v>79020129147981</v>
      </c>
      <c r="H241" s="192">
        <v>46225</v>
      </c>
      <c r="I241" s="116">
        <f t="shared" si="29"/>
        <v>46235</v>
      </c>
      <c r="J241" s="116">
        <f t="shared" si="25"/>
        <v>46295</v>
      </c>
      <c r="T241" s="118" t="str">
        <f t="shared" ca="1" si="26"/>
        <v>47DAYS LEFT</v>
      </c>
    </row>
    <row r="242" spans="2:20" s="190" customFormat="1" x14ac:dyDescent="0.35">
      <c r="B242" s="190" t="s">
        <v>347</v>
      </c>
      <c r="C242" s="191">
        <v>7901998219324</v>
      </c>
      <c r="D242" s="190" t="s">
        <v>386</v>
      </c>
      <c r="H242" s="192">
        <v>46225</v>
      </c>
      <c r="I242" s="116">
        <f t="shared" si="29"/>
        <v>46235</v>
      </c>
      <c r="J242" s="116">
        <f t="shared" si="25"/>
        <v>46295</v>
      </c>
      <c r="T242" s="118" t="str">
        <f t="shared" ca="1" si="26"/>
        <v>47DAYS LEFT</v>
      </c>
    </row>
    <row r="243" spans="2:20" s="190" customFormat="1" x14ac:dyDescent="0.35">
      <c r="B243" s="190" t="s">
        <v>378</v>
      </c>
      <c r="C243" s="191" t="s">
        <v>392</v>
      </c>
      <c r="H243" s="192">
        <v>46225</v>
      </c>
      <c r="I243" s="116">
        <f t="shared" si="29"/>
        <v>46235</v>
      </c>
      <c r="J243" s="116">
        <f t="shared" si="25"/>
        <v>46295</v>
      </c>
      <c r="T243" s="118" t="str">
        <f t="shared" ca="1" si="26"/>
        <v>47DAYS LEFT</v>
      </c>
    </row>
    <row r="244" spans="2:20" s="190" customFormat="1" x14ac:dyDescent="0.35">
      <c r="B244" s="190" t="s">
        <v>347</v>
      </c>
      <c r="C244" s="191" t="s">
        <v>393</v>
      </c>
      <c r="D244" s="190" t="s">
        <v>62</v>
      </c>
      <c r="H244" s="192">
        <v>46225</v>
      </c>
      <c r="I244" s="116">
        <f t="shared" si="29"/>
        <v>46235</v>
      </c>
      <c r="J244" s="116">
        <f t="shared" si="25"/>
        <v>46295</v>
      </c>
      <c r="T244" s="118" t="str">
        <f t="shared" ca="1" si="26"/>
        <v>47DAYS LEFT</v>
      </c>
    </row>
    <row r="245" spans="2:20" s="190" customFormat="1" x14ac:dyDescent="0.35">
      <c r="B245" s="190" t="s">
        <v>380</v>
      </c>
      <c r="C245" s="191">
        <v>435278304886631</v>
      </c>
      <c r="H245" s="192">
        <v>46225</v>
      </c>
      <c r="I245" s="116">
        <f t="shared" si="29"/>
        <v>46235</v>
      </c>
      <c r="J245" s="116">
        <f t="shared" si="25"/>
        <v>46295</v>
      </c>
      <c r="T245" s="118" t="str">
        <f t="shared" ref="T245:T308" ca="1" si="30">IF(J245&lt;TODAY(),"ARRIVED",IF(J245-TODAY()&lt;=7,"ARRIVING SOON",J245-TODAY()&amp;"DAYS LEFT"))</f>
        <v>47DAYS LEFT</v>
      </c>
    </row>
    <row r="246" spans="2:20" s="193" customFormat="1" ht="19.2" customHeight="1" x14ac:dyDescent="0.35">
      <c r="B246" s="193" t="s">
        <v>486</v>
      </c>
      <c r="C246" s="194">
        <v>9818155200520</v>
      </c>
      <c r="D246" s="193" t="s">
        <v>394</v>
      </c>
      <c r="H246" s="195">
        <v>46226</v>
      </c>
      <c r="I246" s="195">
        <f t="shared" si="29"/>
        <v>46235</v>
      </c>
      <c r="J246" s="195">
        <f t="shared" si="25"/>
        <v>46295</v>
      </c>
      <c r="T246" s="118" t="str">
        <f t="shared" ca="1" si="30"/>
        <v>47DAYS LEFT</v>
      </c>
    </row>
    <row r="247" spans="2:20" s="193" customFormat="1" x14ac:dyDescent="0.35">
      <c r="B247" s="193" t="s">
        <v>380</v>
      </c>
      <c r="C247" s="194" t="s">
        <v>395</v>
      </c>
      <c r="D247" s="193" t="s">
        <v>396</v>
      </c>
      <c r="E247" s="193" t="s">
        <v>75</v>
      </c>
      <c r="H247" s="195">
        <v>46226</v>
      </c>
      <c r="I247" s="195">
        <f t="shared" si="29"/>
        <v>46235</v>
      </c>
      <c r="J247" s="195">
        <f t="shared" si="25"/>
        <v>46295</v>
      </c>
      <c r="T247" s="118" t="str">
        <f t="shared" ca="1" si="30"/>
        <v>47DAYS LEFT</v>
      </c>
    </row>
    <row r="248" spans="2:20" s="193" customFormat="1" x14ac:dyDescent="0.35">
      <c r="B248" s="193" t="s">
        <v>341</v>
      </c>
      <c r="C248" s="194"/>
      <c r="D248" s="193" t="s">
        <v>397</v>
      </c>
      <c r="H248" s="195">
        <v>46226</v>
      </c>
      <c r="I248" s="195">
        <f t="shared" si="29"/>
        <v>46235</v>
      </c>
      <c r="J248" s="195">
        <f t="shared" ref="J248:J437" si="31">I248+60</f>
        <v>46295</v>
      </c>
      <c r="T248" s="118" t="str">
        <f t="shared" ca="1" si="30"/>
        <v>47DAYS LEFT</v>
      </c>
    </row>
    <row r="249" spans="2:20" s="193" customFormat="1" x14ac:dyDescent="0.35">
      <c r="B249" s="193" t="s">
        <v>241</v>
      </c>
      <c r="C249" s="194">
        <v>10011752097</v>
      </c>
      <c r="D249" s="193" t="s">
        <v>62</v>
      </c>
      <c r="H249" s="195">
        <v>46226</v>
      </c>
      <c r="I249" s="195">
        <f t="shared" si="29"/>
        <v>46235</v>
      </c>
      <c r="J249" s="195">
        <f t="shared" si="31"/>
        <v>46295</v>
      </c>
      <c r="T249" s="118" t="str">
        <f t="shared" ca="1" si="30"/>
        <v>47DAYS LEFT</v>
      </c>
    </row>
    <row r="250" spans="2:20" s="193" customFormat="1" x14ac:dyDescent="0.35">
      <c r="B250" s="193" t="s">
        <v>380</v>
      </c>
      <c r="C250" s="194">
        <v>79020574443211</v>
      </c>
      <c r="H250" s="195">
        <v>46227</v>
      </c>
      <c r="I250" s="195">
        <f t="shared" si="29"/>
        <v>46235</v>
      </c>
      <c r="J250" s="195">
        <f t="shared" si="31"/>
        <v>46295</v>
      </c>
      <c r="T250" s="118" t="str">
        <f t="shared" ca="1" si="30"/>
        <v>47DAYS LEFT</v>
      </c>
    </row>
    <row r="251" spans="2:20" s="193" customFormat="1" x14ac:dyDescent="0.35">
      <c r="B251" s="193" t="s">
        <v>124</v>
      </c>
      <c r="C251" s="194">
        <v>7902578810451</v>
      </c>
      <c r="H251" s="195">
        <v>46227</v>
      </c>
      <c r="I251" s="195">
        <f t="shared" si="29"/>
        <v>46235</v>
      </c>
      <c r="J251" s="195">
        <f t="shared" si="31"/>
        <v>46295</v>
      </c>
      <c r="T251" s="118" t="str">
        <f t="shared" ca="1" si="30"/>
        <v>47DAYS LEFT</v>
      </c>
    </row>
    <row r="252" spans="2:20" s="193" customFormat="1" x14ac:dyDescent="0.35">
      <c r="B252" s="193" t="s">
        <v>398</v>
      </c>
      <c r="C252" s="194" t="s">
        <v>399</v>
      </c>
      <c r="H252" s="195">
        <v>46227</v>
      </c>
      <c r="I252" s="195">
        <f t="shared" si="29"/>
        <v>46235</v>
      </c>
      <c r="J252" s="195">
        <f t="shared" si="31"/>
        <v>46295</v>
      </c>
      <c r="T252" s="118" t="str">
        <f t="shared" ca="1" si="30"/>
        <v>47DAYS LEFT</v>
      </c>
    </row>
    <row r="253" spans="2:20" s="193" customFormat="1" x14ac:dyDescent="0.35">
      <c r="B253" s="193" t="s">
        <v>398</v>
      </c>
      <c r="C253" s="194" t="s">
        <v>400</v>
      </c>
      <c r="H253" s="195">
        <v>46227</v>
      </c>
      <c r="I253" s="195">
        <f t="shared" si="29"/>
        <v>46235</v>
      </c>
      <c r="J253" s="195">
        <f t="shared" si="31"/>
        <v>46295</v>
      </c>
      <c r="T253" s="118" t="str">
        <f t="shared" ca="1" si="30"/>
        <v>47DAYS LEFT</v>
      </c>
    </row>
    <row r="254" spans="2:20" s="193" customFormat="1" x14ac:dyDescent="0.35">
      <c r="B254" s="193" t="s">
        <v>398</v>
      </c>
      <c r="C254" s="194" t="s">
        <v>401</v>
      </c>
      <c r="H254" s="195">
        <v>46227</v>
      </c>
      <c r="I254" s="195">
        <f t="shared" si="29"/>
        <v>46235</v>
      </c>
      <c r="J254" s="195">
        <f t="shared" si="31"/>
        <v>46295</v>
      </c>
      <c r="T254" s="118" t="str">
        <f t="shared" ca="1" si="30"/>
        <v>47DAYS LEFT</v>
      </c>
    </row>
    <row r="255" spans="2:20" s="193" customFormat="1" x14ac:dyDescent="0.35">
      <c r="B255" s="193" t="s">
        <v>169</v>
      </c>
      <c r="C255" s="194" t="s">
        <v>402</v>
      </c>
      <c r="H255" s="195">
        <v>46227</v>
      </c>
      <c r="I255" s="195">
        <f t="shared" si="29"/>
        <v>46235</v>
      </c>
      <c r="J255" s="195">
        <f t="shared" si="31"/>
        <v>46295</v>
      </c>
      <c r="T255" s="118" t="str">
        <f t="shared" ca="1" si="30"/>
        <v>47DAYS LEFT</v>
      </c>
    </row>
    <row r="256" spans="2:20" s="193" customFormat="1" x14ac:dyDescent="0.35">
      <c r="B256" s="193" t="s">
        <v>378</v>
      </c>
      <c r="C256" s="194" t="s">
        <v>403</v>
      </c>
      <c r="H256" s="195">
        <v>46227</v>
      </c>
      <c r="I256" s="195">
        <f t="shared" si="29"/>
        <v>46235</v>
      </c>
      <c r="J256" s="195">
        <f t="shared" si="31"/>
        <v>46295</v>
      </c>
      <c r="T256" s="118" t="str">
        <f t="shared" ca="1" si="30"/>
        <v>47DAYS LEFT</v>
      </c>
    </row>
    <row r="257" spans="2:20" s="193" customFormat="1" x14ac:dyDescent="0.35">
      <c r="B257" s="193" t="s">
        <v>398</v>
      </c>
      <c r="C257" s="194" t="s">
        <v>404</v>
      </c>
      <c r="H257" s="195">
        <v>46227</v>
      </c>
      <c r="I257" s="195">
        <f t="shared" si="29"/>
        <v>46235</v>
      </c>
      <c r="J257" s="195">
        <f t="shared" si="31"/>
        <v>46295</v>
      </c>
      <c r="T257" s="118" t="str">
        <f t="shared" ca="1" si="30"/>
        <v>47DAYS LEFT</v>
      </c>
    </row>
    <row r="258" spans="2:20" s="193" customFormat="1" x14ac:dyDescent="0.35">
      <c r="B258" s="193" t="s">
        <v>398</v>
      </c>
      <c r="C258" s="194" t="s">
        <v>405</v>
      </c>
      <c r="H258" s="195">
        <v>46227</v>
      </c>
      <c r="I258" s="195">
        <f t="shared" si="29"/>
        <v>46235</v>
      </c>
      <c r="J258" s="195">
        <f t="shared" si="31"/>
        <v>46295</v>
      </c>
      <c r="T258" s="118" t="str">
        <f t="shared" ca="1" si="30"/>
        <v>47DAYS LEFT</v>
      </c>
    </row>
    <row r="259" spans="2:20" s="193" customFormat="1" x14ac:dyDescent="0.35">
      <c r="B259" s="193" t="s">
        <v>398</v>
      </c>
      <c r="C259" s="194" t="s">
        <v>406</v>
      </c>
      <c r="H259" s="195">
        <v>46227</v>
      </c>
      <c r="I259" s="195">
        <f t="shared" si="29"/>
        <v>46235</v>
      </c>
      <c r="J259" s="195">
        <f t="shared" si="31"/>
        <v>46295</v>
      </c>
      <c r="T259" s="118" t="str">
        <f t="shared" ca="1" si="30"/>
        <v>47DAYS LEFT</v>
      </c>
    </row>
    <row r="260" spans="2:20" s="193" customFormat="1" x14ac:dyDescent="0.35">
      <c r="B260" s="193" t="s">
        <v>407</v>
      </c>
      <c r="C260" s="194">
        <v>79020611980296</v>
      </c>
      <c r="H260" s="195">
        <v>46227</v>
      </c>
      <c r="I260" s="195">
        <f t="shared" si="29"/>
        <v>46235</v>
      </c>
      <c r="J260" s="195">
        <f t="shared" si="31"/>
        <v>46295</v>
      </c>
      <c r="T260" s="118" t="str">
        <f t="shared" ca="1" si="30"/>
        <v>47DAYS LEFT</v>
      </c>
    </row>
    <row r="261" spans="2:20" s="193" customFormat="1" x14ac:dyDescent="0.35">
      <c r="B261" s="193" t="s">
        <v>407</v>
      </c>
      <c r="C261" s="194" t="s">
        <v>408</v>
      </c>
      <c r="H261" s="195">
        <v>46227</v>
      </c>
      <c r="I261" s="195">
        <f t="shared" si="29"/>
        <v>46235</v>
      </c>
      <c r="J261" s="195">
        <f t="shared" si="31"/>
        <v>46295</v>
      </c>
      <c r="T261" s="118" t="str">
        <f t="shared" ca="1" si="30"/>
        <v>47DAYS LEFT</v>
      </c>
    </row>
    <row r="262" spans="2:20" s="193" customFormat="1" x14ac:dyDescent="0.35">
      <c r="B262" s="193" t="s">
        <v>241</v>
      </c>
      <c r="C262" s="194">
        <v>435280487928874</v>
      </c>
      <c r="H262" s="195">
        <v>46227</v>
      </c>
      <c r="I262" s="195">
        <f t="shared" si="29"/>
        <v>46235</v>
      </c>
      <c r="J262" s="195">
        <f t="shared" si="31"/>
        <v>46295</v>
      </c>
      <c r="T262" s="118" t="str">
        <f t="shared" ca="1" si="30"/>
        <v>47DAYS LEFT</v>
      </c>
    </row>
    <row r="263" spans="2:20" s="193" customFormat="1" x14ac:dyDescent="0.35">
      <c r="B263" s="193" t="s">
        <v>169</v>
      </c>
      <c r="C263" s="194">
        <v>79020751575324</v>
      </c>
      <c r="H263" s="195">
        <v>46227</v>
      </c>
      <c r="I263" s="195">
        <f t="shared" si="29"/>
        <v>46235</v>
      </c>
      <c r="J263" s="195">
        <f t="shared" si="31"/>
        <v>46295</v>
      </c>
      <c r="T263" s="118" t="str">
        <f t="shared" ca="1" si="30"/>
        <v>47DAYS LEFT</v>
      </c>
    </row>
    <row r="264" spans="2:20" s="193" customFormat="1" x14ac:dyDescent="0.35">
      <c r="B264" s="193" t="s">
        <v>241</v>
      </c>
      <c r="C264" s="194">
        <v>435280487928874</v>
      </c>
      <c r="H264" s="195">
        <v>46227</v>
      </c>
      <c r="I264" s="195">
        <f t="shared" si="29"/>
        <v>46235</v>
      </c>
      <c r="J264" s="195" t="e" cm="1">
        <f t="array" ref="J264">I264+60+J275J264:J269</f>
        <v>#NAME?</v>
      </c>
      <c r="T264" s="118" t="e">
        <f t="shared" ca="1" si="30"/>
        <v>#NAME?</v>
      </c>
    </row>
    <row r="265" spans="2:20" s="193" customFormat="1" x14ac:dyDescent="0.35">
      <c r="B265" s="193" t="s">
        <v>398</v>
      </c>
      <c r="C265" s="194" t="s">
        <v>409</v>
      </c>
      <c r="H265" s="195">
        <v>46227</v>
      </c>
      <c r="I265" s="195">
        <f t="shared" si="29"/>
        <v>46235</v>
      </c>
      <c r="J265" s="195">
        <f t="shared" si="31"/>
        <v>46295</v>
      </c>
      <c r="T265" s="118" t="str">
        <f t="shared" ca="1" si="30"/>
        <v>47DAYS LEFT</v>
      </c>
    </row>
    <row r="266" spans="2:20" s="193" customFormat="1" x14ac:dyDescent="0.35">
      <c r="B266" s="193" t="s">
        <v>410</v>
      </c>
      <c r="C266" s="194">
        <v>435282298798902</v>
      </c>
      <c r="H266" s="195">
        <v>46227</v>
      </c>
      <c r="I266" s="195">
        <f t="shared" si="29"/>
        <v>46235</v>
      </c>
      <c r="J266" s="195">
        <f t="shared" si="31"/>
        <v>46295</v>
      </c>
      <c r="T266" s="118" t="str">
        <f t="shared" ca="1" si="30"/>
        <v>47DAYS LEFT</v>
      </c>
    </row>
    <row r="267" spans="2:20" s="193" customFormat="1" x14ac:dyDescent="0.35">
      <c r="B267" s="193" t="s">
        <v>398</v>
      </c>
      <c r="C267" s="194" t="s">
        <v>411</v>
      </c>
      <c r="H267" s="195">
        <v>46227</v>
      </c>
      <c r="I267" s="195">
        <f t="shared" si="29"/>
        <v>46235</v>
      </c>
      <c r="J267" s="195">
        <f t="shared" si="31"/>
        <v>46295</v>
      </c>
      <c r="T267" s="118" t="str">
        <f t="shared" ca="1" si="30"/>
        <v>47DAYS LEFT</v>
      </c>
    </row>
    <row r="268" spans="2:20" s="193" customFormat="1" x14ac:dyDescent="0.35">
      <c r="B268" s="193" t="s">
        <v>398</v>
      </c>
      <c r="C268" s="194" t="s">
        <v>412</v>
      </c>
      <c r="H268" s="195">
        <v>46227</v>
      </c>
      <c r="I268" s="195">
        <f t="shared" si="29"/>
        <v>46235</v>
      </c>
      <c r="J268" s="195">
        <f t="shared" si="31"/>
        <v>46295</v>
      </c>
      <c r="T268" s="118" t="str">
        <f t="shared" ca="1" si="30"/>
        <v>47DAYS LEFT</v>
      </c>
    </row>
    <row r="269" spans="2:20" s="193" customFormat="1" x14ac:dyDescent="0.35">
      <c r="B269" s="193" t="s">
        <v>398</v>
      </c>
      <c r="C269" s="194">
        <v>777429814179145</v>
      </c>
      <c r="H269" s="195">
        <v>46227</v>
      </c>
      <c r="I269" s="195">
        <f t="shared" si="29"/>
        <v>46235</v>
      </c>
      <c r="J269" s="195">
        <f t="shared" si="31"/>
        <v>46295</v>
      </c>
      <c r="T269" s="118" t="str">
        <f t="shared" ca="1" si="30"/>
        <v>47DAYS LEFT</v>
      </c>
    </row>
    <row r="270" spans="2:20" s="193" customFormat="1" x14ac:dyDescent="0.35">
      <c r="B270" s="193" t="s">
        <v>398</v>
      </c>
      <c r="C270" s="194">
        <v>465529700766063</v>
      </c>
      <c r="H270" s="195">
        <v>46227</v>
      </c>
      <c r="I270" s="195">
        <f t="shared" si="29"/>
        <v>46235</v>
      </c>
      <c r="J270" s="195">
        <f t="shared" si="31"/>
        <v>46295</v>
      </c>
      <c r="T270" s="118" t="str">
        <f t="shared" ca="1" si="30"/>
        <v>47DAYS LEFT</v>
      </c>
    </row>
    <row r="271" spans="2:20" s="193" customFormat="1" x14ac:dyDescent="0.35">
      <c r="B271" s="193" t="s">
        <v>241</v>
      </c>
      <c r="C271" s="194">
        <v>79020761524431</v>
      </c>
      <c r="H271" s="195">
        <v>46227</v>
      </c>
      <c r="I271" s="195">
        <f t="shared" si="29"/>
        <v>46235</v>
      </c>
      <c r="J271" s="195">
        <f t="shared" si="31"/>
        <v>46295</v>
      </c>
      <c r="T271" s="118" t="str">
        <f t="shared" ca="1" si="30"/>
        <v>47DAYS LEFT</v>
      </c>
    </row>
    <row r="272" spans="2:20" s="193" customFormat="1" x14ac:dyDescent="0.35">
      <c r="B272" s="193" t="s">
        <v>378</v>
      </c>
      <c r="C272" s="194">
        <v>777429551922597</v>
      </c>
      <c r="H272" s="195">
        <v>46227</v>
      </c>
      <c r="I272" s="195">
        <f t="shared" si="29"/>
        <v>46235</v>
      </c>
      <c r="J272" s="195">
        <f t="shared" si="31"/>
        <v>46295</v>
      </c>
      <c r="T272" s="118" t="str">
        <f t="shared" ca="1" si="30"/>
        <v>47DAYS LEFT</v>
      </c>
    </row>
    <row r="273" spans="2:20" s="193" customFormat="1" x14ac:dyDescent="0.35">
      <c r="B273" s="193" t="s">
        <v>398</v>
      </c>
      <c r="C273" s="194">
        <v>99125072845981</v>
      </c>
      <c r="H273" s="195">
        <v>46227</v>
      </c>
      <c r="I273" s="195">
        <f t="shared" si="29"/>
        <v>46235</v>
      </c>
      <c r="J273" s="195">
        <f t="shared" si="31"/>
        <v>46295</v>
      </c>
      <c r="T273" s="118" t="str">
        <f t="shared" ca="1" si="30"/>
        <v>47DAYS LEFT</v>
      </c>
    </row>
    <row r="274" spans="2:20" s="193" customFormat="1" x14ac:dyDescent="0.35">
      <c r="B274" s="193" t="s">
        <v>398</v>
      </c>
      <c r="C274" s="194" t="s">
        <v>413</v>
      </c>
      <c r="H274" s="195">
        <v>46227</v>
      </c>
      <c r="I274" s="195">
        <f t="shared" si="29"/>
        <v>46235</v>
      </c>
      <c r="J274" s="195">
        <f t="shared" si="31"/>
        <v>46295</v>
      </c>
      <c r="T274" s="118" t="str">
        <f t="shared" ca="1" si="30"/>
        <v>47DAYS LEFT</v>
      </c>
    </row>
    <row r="275" spans="2:20" s="193" customFormat="1" x14ac:dyDescent="0.35">
      <c r="B275" s="193" t="s">
        <v>398</v>
      </c>
      <c r="C275" s="194">
        <v>777429620049286</v>
      </c>
      <c r="H275" s="195">
        <v>46227</v>
      </c>
      <c r="I275" s="195">
        <f t="shared" si="29"/>
        <v>46235</v>
      </c>
      <c r="J275" s="195">
        <f t="shared" si="31"/>
        <v>46295</v>
      </c>
      <c r="T275" s="118" t="str">
        <f t="shared" ca="1" si="30"/>
        <v>47DAYS LEFT</v>
      </c>
    </row>
    <row r="276" spans="2:20" s="193" customFormat="1" x14ac:dyDescent="0.35">
      <c r="B276" s="193" t="s">
        <v>398</v>
      </c>
      <c r="C276" s="194">
        <v>77742980795383</v>
      </c>
      <c r="E276" s="193" t="s">
        <v>74</v>
      </c>
      <c r="H276" s="195">
        <v>46229</v>
      </c>
      <c r="I276" s="195">
        <f>H276+7+MOD(7-WEEKDAY(H276+7),7)</f>
        <v>46242</v>
      </c>
      <c r="J276" s="195">
        <f t="shared" si="31"/>
        <v>46302</v>
      </c>
      <c r="T276" s="118" t="str">
        <f t="shared" ca="1" si="30"/>
        <v>54DAYS LEFT</v>
      </c>
    </row>
    <row r="277" spans="2:20" s="193" customFormat="1" x14ac:dyDescent="0.35">
      <c r="B277" s="193" t="s">
        <v>398</v>
      </c>
      <c r="C277" s="194">
        <v>7774295927233320</v>
      </c>
      <c r="E277" s="193" t="s">
        <v>74</v>
      </c>
      <c r="H277" s="195">
        <v>46229</v>
      </c>
      <c r="I277" s="195">
        <f t="shared" ref="I277:I278" si="32">H277+7+MOD(7-WEEKDAY(H277+7),7)</f>
        <v>46242</v>
      </c>
      <c r="J277" s="195">
        <f t="shared" si="31"/>
        <v>46302</v>
      </c>
      <c r="T277" s="118" t="str">
        <f t="shared" ca="1" si="30"/>
        <v>54DAYS LEFT</v>
      </c>
    </row>
    <row r="278" spans="2:20" s="193" customFormat="1" x14ac:dyDescent="0.35">
      <c r="B278" s="193" t="s">
        <v>378</v>
      </c>
      <c r="C278" s="194">
        <v>777429553399022</v>
      </c>
      <c r="H278" s="195">
        <v>46229</v>
      </c>
      <c r="I278" s="195">
        <f t="shared" si="32"/>
        <v>46242</v>
      </c>
      <c r="J278" s="195">
        <f t="shared" si="31"/>
        <v>46302</v>
      </c>
      <c r="T278" s="118" t="str">
        <f t="shared" ca="1" si="30"/>
        <v>54DAYS LEFT</v>
      </c>
    </row>
    <row r="279" spans="2:20" s="193" customFormat="1" x14ac:dyDescent="0.35">
      <c r="B279" s="193" t="s">
        <v>398</v>
      </c>
      <c r="C279" s="194">
        <v>79124759522774</v>
      </c>
      <c r="E279" s="193" t="s">
        <v>74</v>
      </c>
      <c r="H279" s="195">
        <v>46229</v>
      </c>
      <c r="I279" s="195">
        <f>H279+7+MOD(7-WEEKDAY(H279+7),7)</f>
        <v>46242</v>
      </c>
      <c r="J279" s="195">
        <f t="shared" si="31"/>
        <v>46302</v>
      </c>
      <c r="T279" s="118" t="str">
        <f t="shared" ca="1" si="30"/>
        <v>54DAYS LEFT</v>
      </c>
    </row>
    <row r="280" spans="2:20" s="193" customFormat="1" x14ac:dyDescent="0.35">
      <c r="B280" s="193" t="s">
        <v>398</v>
      </c>
      <c r="C280" s="194">
        <v>777429511551025</v>
      </c>
      <c r="E280" s="193" t="s">
        <v>74</v>
      </c>
      <c r="H280" s="195">
        <v>46229</v>
      </c>
      <c r="I280" s="195">
        <f t="shared" ref="I280:I377" si="33">H280+7+MOD(7-WEEKDAY(H280+7),7)</f>
        <v>46242</v>
      </c>
      <c r="J280" s="195">
        <f t="shared" si="31"/>
        <v>46302</v>
      </c>
      <c r="T280" s="118" t="str">
        <f t="shared" ca="1" si="30"/>
        <v>54DAYS LEFT</v>
      </c>
    </row>
    <row r="281" spans="2:20" s="193" customFormat="1" x14ac:dyDescent="0.35">
      <c r="B281" s="193" t="s">
        <v>398</v>
      </c>
      <c r="C281" s="194">
        <v>79124936317520</v>
      </c>
      <c r="E281" s="193" t="s">
        <v>74</v>
      </c>
      <c r="H281" s="195">
        <v>46229</v>
      </c>
      <c r="I281" s="195">
        <f t="shared" si="33"/>
        <v>46242</v>
      </c>
      <c r="J281" s="195">
        <f t="shared" si="31"/>
        <v>46302</v>
      </c>
      <c r="T281" s="118" t="str">
        <f t="shared" ca="1" si="30"/>
        <v>54DAYS LEFT</v>
      </c>
    </row>
    <row r="282" spans="2:20" s="193" customFormat="1" x14ac:dyDescent="0.35">
      <c r="B282" s="193" t="s">
        <v>110</v>
      </c>
      <c r="C282" s="194">
        <v>100029865685002</v>
      </c>
      <c r="H282" s="195">
        <v>46229</v>
      </c>
      <c r="I282" s="195">
        <f t="shared" si="33"/>
        <v>46242</v>
      </c>
      <c r="J282" s="195">
        <f t="shared" si="31"/>
        <v>46302</v>
      </c>
      <c r="T282" s="118" t="str">
        <f t="shared" ca="1" si="30"/>
        <v>54DAYS LEFT</v>
      </c>
    </row>
    <row r="283" spans="2:20" s="193" customFormat="1" x14ac:dyDescent="0.35">
      <c r="B283" s="193" t="s">
        <v>110</v>
      </c>
      <c r="C283" s="194">
        <v>100029865685</v>
      </c>
      <c r="H283" s="195">
        <v>46229</v>
      </c>
      <c r="I283" s="195">
        <f t="shared" si="33"/>
        <v>46242</v>
      </c>
      <c r="J283" s="195">
        <f t="shared" si="31"/>
        <v>46302</v>
      </c>
      <c r="T283" s="118" t="str">
        <f t="shared" ca="1" si="30"/>
        <v>54DAYS LEFT</v>
      </c>
    </row>
    <row r="284" spans="2:20" s="193" customFormat="1" x14ac:dyDescent="0.35">
      <c r="B284" s="193" t="s">
        <v>398</v>
      </c>
      <c r="C284" s="194">
        <v>79124818789024</v>
      </c>
      <c r="D284" s="193" t="s">
        <v>414</v>
      </c>
      <c r="E284" s="193" t="s">
        <v>74</v>
      </c>
      <c r="H284" s="195">
        <v>46229</v>
      </c>
      <c r="I284" s="195">
        <f t="shared" si="33"/>
        <v>46242</v>
      </c>
      <c r="J284" s="195">
        <f t="shared" si="31"/>
        <v>46302</v>
      </c>
      <c r="T284" s="118" t="str">
        <f t="shared" ca="1" si="30"/>
        <v>54DAYS LEFT</v>
      </c>
    </row>
    <row r="285" spans="2:20" s="193" customFormat="1" x14ac:dyDescent="0.35">
      <c r="B285" s="193" t="s">
        <v>398</v>
      </c>
      <c r="C285" s="194">
        <v>981821589499</v>
      </c>
      <c r="E285" s="193" t="s">
        <v>74</v>
      </c>
      <c r="H285" s="195">
        <v>46229</v>
      </c>
      <c r="I285" s="195">
        <f t="shared" si="33"/>
        <v>46242</v>
      </c>
      <c r="J285" s="195">
        <f t="shared" si="31"/>
        <v>46302</v>
      </c>
      <c r="T285" s="118" t="str">
        <f t="shared" ca="1" si="30"/>
        <v>54DAYS LEFT</v>
      </c>
    </row>
    <row r="286" spans="2:20" s="193" customFormat="1" x14ac:dyDescent="0.35">
      <c r="B286" s="193" t="s">
        <v>398</v>
      </c>
      <c r="C286" s="194">
        <v>9818214714215</v>
      </c>
      <c r="E286" s="193" t="s">
        <v>74</v>
      </c>
      <c r="H286" s="195">
        <v>46229</v>
      </c>
      <c r="I286" s="195">
        <f t="shared" si="33"/>
        <v>46242</v>
      </c>
      <c r="J286" s="195">
        <f t="shared" si="31"/>
        <v>46302</v>
      </c>
      <c r="T286" s="118" t="str">
        <f t="shared" ca="1" si="30"/>
        <v>54DAYS LEFT</v>
      </c>
    </row>
    <row r="287" spans="2:20" s="193" customFormat="1" x14ac:dyDescent="0.35">
      <c r="B287" s="193" t="s">
        <v>398</v>
      </c>
      <c r="C287" s="194" t="s">
        <v>415</v>
      </c>
      <c r="E287" s="193" t="s">
        <v>74</v>
      </c>
      <c r="H287" s="195">
        <v>46229</v>
      </c>
      <c r="I287" s="195">
        <f t="shared" si="33"/>
        <v>46242</v>
      </c>
      <c r="J287" s="195">
        <f t="shared" si="31"/>
        <v>46302</v>
      </c>
      <c r="T287" s="118" t="str">
        <f t="shared" ca="1" si="30"/>
        <v>54DAYS LEFT</v>
      </c>
    </row>
    <row r="288" spans="2:20" s="193" customFormat="1" x14ac:dyDescent="0.35">
      <c r="B288" s="193" t="s">
        <v>398</v>
      </c>
      <c r="C288" s="194" t="s">
        <v>416</v>
      </c>
      <c r="E288" s="193" t="s">
        <v>74</v>
      </c>
      <c r="H288" s="195">
        <v>46229</v>
      </c>
      <c r="I288" s="195">
        <f t="shared" si="33"/>
        <v>46242</v>
      </c>
      <c r="J288" s="195">
        <f t="shared" si="31"/>
        <v>46302</v>
      </c>
      <c r="T288" s="118" t="str">
        <f t="shared" ca="1" si="30"/>
        <v>54DAYS LEFT</v>
      </c>
    </row>
    <row r="289" spans="2:20" s="193" customFormat="1" x14ac:dyDescent="0.35">
      <c r="B289" s="193" t="s">
        <v>398</v>
      </c>
      <c r="C289" s="194" t="s">
        <v>417</v>
      </c>
      <c r="E289" s="193" t="s">
        <v>74</v>
      </c>
      <c r="H289" s="195">
        <v>46229</v>
      </c>
      <c r="I289" s="195">
        <f t="shared" si="33"/>
        <v>46242</v>
      </c>
      <c r="J289" s="195">
        <f t="shared" si="31"/>
        <v>46302</v>
      </c>
      <c r="T289" s="118" t="str">
        <f t="shared" ca="1" si="30"/>
        <v>54DAYS LEFT</v>
      </c>
    </row>
    <row r="290" spans="2:20" s="193" customFormat="1" x14ac:dyDescent="0.35">
      <c r="B290" s="193" t="s">
        <v>430</v>
      </c>
      <c r="C290" s="194" t="s">
        <v>418</v>
      </c>
      <c r="E290" s="193" t="s">
        <v>74</v>
      </c>
      <c r="H290" s="195">
        <v>46229</v>
      </c>
      <c r="I290" s="195">
        <f t="shared" si="33"/>
        <v>46242</v>
      </c>
      <c r="J290" s="195">
        <f t="shared" si="31"/>
        <v>46302</v>
      </c>
      <c r="T290" s="118" t="str">
        <f t="shared" ca="1" si="30"/>
        <v>54DAYS LEFT</v>
      </c>
    </row>
    <row r="291" spans="2:20" s="193" customFormat="1" x14ac:dyDescent="0.35">
      <c r="B291" s="193" t="s">
        <v>378</v>
      </c>
      <c r="C291" s="194" t="s">
        <v>419</v>
      </c>
      <c r="H291" s="195">
        <v>46229</v>
      </c>
      <c r="I291" s="195">
        <f t="shared" si="33"/>
        <v>46242</v>
      </c>
      <c r="J291" s="195">
        <f t="shared" si="31"/>
        <v>46302</v>
      </c>
      <c r="T291" s="118" t="str">
        <f t="shared" ca="1" si="30"/>
        <v>54DAYS LEFT</v>
      </c>
    </row>
    <row r="292" spans="2:20" s="193" customFormat="1" ht="18.600000000000001" customHeight="1" x14ac:dyDescent="0.35">
      <c r="B292" s="193" t="s">
        <v>420</v>
      </c>
      <c r="C292" s="194" t="s">
        <v>421</v>
      </c>
      <c r="H292" s="195">
        <v>46229</v>
      </c>
      <c r="I292" s="195">
        <f t="shared" si="33"/>
        <v>46242</v>
      </c>
      <c r="J292" s="195">
        <f t="shared" si="31"/>
        <v>46302</v>
      </c>
      <c r="T292" s="118" t="str">
        <f t="shared" ca="1" si="30"/>
        <v>54DAYS LEFT</v>
      </c>
    </row>
    <row r="293" spans="2:20" s="193" customFormat="1" x14ac:dyDescent="0.35">
      <c r="B293" s="193" t="s">
        <v>378</v>
      </c>
      <c r="C293" s="194" t="s">
        <v>422</v>
      </c>
      <c r="E293" s="193" t="s">
        <v>128</v>
      </c>
      <c r="H293" s="195">
        <v>46229</v>
      </c>
      <c r="I293" s="195">
        <f t="shared" si="33"/>
        <v>46242</v>
      </c>
      <c r="J293" s="195">
        <f t="shared" si="31"/>
        <v>46302</v>
      </c>
      <c r="T293" s="118" t="str">
        <f t="shared" ca="1" si="30"/>
        <v>54DAYS LEFT</v>
      </c>
    </row>
    <row r="294" spans="2:20" s="193" customFormat="1" x14ac:dyDescent="0.35">
      <c r="B294" s="193" t="s">
        <v>398</v>
      </c>
      <c r="C294" s="194">
        <v>7.9124724759522704E+16</v>
      </c>
      <c r="E294" s="193" t="s">
        <v>74</v>
      </c>
      <c r="H294" s="195">
        <v>46229</v>
      </c>
      <c r="I294" s="195">
        <f t="shared" si="33"/>
        <v>46242</v>
      </c>
      <c r="J294" s="195">
        <f t="shared" si="31"/>
        <v>46302</v>
      </c>
      <c r="T294" s="118" t="str">
        <f t="shared" ca="1" si="30"/>
        <v>54DAYS LEFT</v>
      </c>
    </row>
    <row r="295" spans="2:20" s="193" customFormat="1" x14ac:dyDescent="0.35">
      <c r="B295" s="193" t="s">
        <v>423</v>
      </c>
      <c r="C295" s="194">
        <v>79020716138233</v>
      </c>
      <c r="H295" s="195">
        <v>46229</v>
      </c>
      <c r="I295" s="195">
        <f t="shared" si="33"/>
        <v>46242</v>
      </c>
      <c r="J295" s="195">
        <f t="shared" si="31"/>
        <v>46302</v>
      </c>
      <c r="T295" s="118" t="str">
        <f t="shared" ca="1" si="30"/>
        <v>54DAYS LEFT</v>
      </c>
    </row>
    <row r="296" spans="2:20" s="193" customFormat="1" x14ac:dyDescent="0.35">
      <c r="B296" s="193" t="s">
        <v>398</v>
      </c>
      <c r="C296" s="194">
        <v>791124834124602</v>
      </c>
      <c r="H296" s="195">
        <v>46229</v>
      </c>
      <c r="I296" s="195">
        <f t="shared" si="33"/>
        <v>46242</v>
      </c>
      <c r="J296" s="195">
        <f t="shared" si="31"/>
        <v>46302</v>
      </c>
      <c r="T296" s="118" t="str">
        <f t="shared" ca="1" si="30"/>
        <v>54DAYS LEFT</v>
      </c>
    </row>
    <row r="297" spans="2:20" s="193" customFormat="1" x14ac:dyDescent="0.35">
      <c r="B297" s="193" t="s">
        <v>424</v>
      </c>
      <c r="C297" s="194">
        <v>79020595029163</v>
      </c>
      <c r="H297" s="195">
        <v>46229</v>
      </c>
      <c r="I297" s="195">
        <f t="shared" si="33"/>
        <v>46242</v>
      </c>
      <c r="J297" s="195">
        <f t="shared" si="31"/>
        <v>46302</v>
      </c>
      <c r="T297" s="118" t="str">
        <f t="shared" ca="1" si="30"/>
        <v>54DAYS LEFT</v>
      </c>
    </row>
    <row r="298" spans="2:20" s="193" customFormat="1" x14ac:dyDescent="0.35">
      <c r="B298" s="193" t="s">
        <v>398</v>
      </c>
      <c r="C298" s="194">
        <v>79124758381028</v>
      </c>
      <c r="E298" s="193" t="s">
        <v>431</v>
      </c>
      <c r="H298" s="195">
        <v>46229</v>
      </c>
      <c r="I298" s="195">
        <f t="shared" si="33"/>
        <v>46242</v>
      </c>
      <c r="J298" s="195">
        <f t="shared" si="31"/>
        <v>46302</v>
      </c>
      <c r="T298" s="118" t="str">
        <f t="shared" ca="1" si="30"/>
        <v>54DAYS LEFT</v>
      </c>
    </row>
    <row r="299" spans="2:20" s="193" customFormat="1" x14ac:dyDescent="0.35">
      <c r="B299" s="193" t="s">
        <v>429</v>
      </c>
      <c r="C299" s="194">
        <v>79124858852038</v>
      </c>
      <c r="H299" s="195">
        <v>46229</v>
      </c>
      <c r="I299" s="195">
        <f t="shared" si="33"/>
        <v>46242</v>
      </c>
      <c r="J299" s="195">
        <f t="shared" si="31"/>
        <v>46302</v>
      </c>
      <c r="T299" s="118" t="str">
        <f t="shared" ca="1" si="30"/>
        <v>54DAYS LEFT</v>
      </c>
    </row>
    <row r="300" spans="2:20" s="193" customFormat="1" x14ac:dyDescent="0.35">
      <c r="B300" s="193" t="s">
        <v>146</v>
      </c>
      <c r="C300" s="194">
        <v>79021047114842</v>
      </c>
      <c r="H300" s="195">
        <v>46229</v>
      </c>
      <c r="I300" s="195">
        <f t="shared" si="33"/>
        <v>46242</v>
      </c>
      <c r="J300" s="195">
        <f t="shared" si="31"/>
        <v>46302</v>
      </c>
      <c r="T300" s="118" t="str">
        <f t="shared" ca="1" si="30"/>
        <v>54DAYS LEFT</v>
      </c>
    </row>
    <row r="301" spans="2:20" s="193" customFormat="1" x14ac:dyDescent="0.35">
      <c r="B301" s="193" t="s">
        <v>347</v>
      </c>
      <c r="C301" s="194" t="s">
        <v>425</v>
      </c>
      <c r="D301" s="193" t="s">
        <v>426</v>
      </c>
      <c r="H301" s="195">
        <v>46229</v>
      </c>
      <c r="I301" s="195">
        <f t="shared" si="33"/>
        <v>46242</v>
      </c>
      <c r="J301" s="195">
        <f t="shared" si="31"/>
        <v>46302</v>
      </c>
      <c r="T301" s="118" t="str">
        <f t="shared" ca="1" si="30"/>
        <v>54DAYS LEFT</v>
      </c>
    </row>
    <row r="302" spans="2:20" s="193" customFormat="1" x14ac:dyDescent="0.35">
      <c r="B302" s="193" t="s">
        <v>398</v>
      </c>
      <c r="C302" s="194" t="s">
        <v>427</v>
      </c>
      <c r="E302" s="193" t="s">
        <v>74</v>
      </c>
      <c r="H302" s="195">
        <v>46229</v>
      </c>
      <c r="I302" s="195">
        <f t="shared" si="33"/>
        <v>46242</v>
      </c>
      <c r="J302" s="195">
        <f t="shared" si="31"/>
        <v>46302</v>
      </c>
      <c r="T302" s="118" t="str">
        <f t="shared" ca="1" si="30"/>
        <v>54DAYS LEFT</v>
      </c>
    </row>
    <row r="303" spans="2:20" s="193" customFormat="1" x14ac:dyDescent="0.35">
      <c r="B303" s="193" t="s">
        <v>398</v>
      </c>
      <c r="C303" s="194" t="s">
        <v>428</v>
      </c>
      <c r="E303" s="193" t="s">
        <v>74</v>
      </c>
      <c r="H303" s="195">
        <v>46229</v>
      </c>
      <c r="I303" s="195">
        <f t="shared" si="33"/>
        <v>46242</v>
      </c>
      <c r="J303" s="195">
        <f t="shared" si="31"/>
        <v>46302</v>
      </c>
      <c r="T303" s="118" t="str">
        <f t="shared" ca="1" si="30"/>
        <v>54DAYS LEFT</v>
      </c>
    </row>
    <row r="304" spans="2:20" s="193" customFormat="1" x14ac:dyDescent="0.35">
      <c r="B304" s="193" t="s">
        <v>432</v>
      </c>
      <c r="C304" s="194">
        <v>773433115993319</v>
      </c>
      <c r="H304" s="195">
        <v>46230</v>
      </c>
      <c r="I304" s="195">
        <f t="shared" si="33"/>
        <v>46242</v>
      </c>
      <c r="J304" s="195">
        <f t="shared" si="31"/>
        <v>46302</v>
      </c>
      <c r="T304" s="118" t="str">
        <f t="shared" ca="1" si="30"/>
        <v>54DAYS LEFT</v>
      </c>
    </row>
    <row r="305" spans="2:20" s="193" customFormat="1" x14ac:dyDescent="0.35">
      <c r="B305" s="193" t="s">
        <v>423</v>
      </c>
      <c r="C305" s="194">
        <v>773433183548188</v>
      </c>
      <c r="H305" s="195">
        <v>46230</v>
      </c>
      <c r="I305" s="195">
        <f t="shared" si="33"/>
        <v>46242</v>
      </c>
      <c r="J305" s="195">
        <f t="shared" si="31"/>
        <v>46302</v>
      </c>
      <c r="T305" s="118" t="str">
        <f t="shared" ca="1" si="30"/>
        <v>54DAYS LEFT</v>
      </c>
    </row>
    <row r="306" spans="2:20" s="193" customFormat="1" x14ac:dyDescent="0.35">
      <c r="B306" s="193" t="s">
        <v>423</v>
      </c>
      <c r="C306" s="194">
        <v>4352284997405610</v>
      </c>
      <c r="D306" s="193" t="s">
        <v>433</v>
      </c>
      <c r="H306" s="195">
        <v>46230</v>
      </c>
      <c r="I306" s="195">
        <f t="shared" si="33"/>
        <v>46242</v>
      </c>
      <c r="J306" s="195">
        <f t="shared" si="31"/>
        <v>46302</v>
      </c>
      <c r="T306" s="118" t="str">
        <f t="shared" ca="1" si="30"/>
        <v>54DAYS LEFT</v>
      </c>
    </row>
    <row r="307" spans="2:20" s="193" customFormat="1" x14ac:dyDescent="0.35">
      <c r="B307" s="193" t="s">
        <v>420</v>
      </c>
      <c r="C307" s="194">
        <v>79020904590685</v>
      </c>
      <c r="D307" s="193" t="s">
        <v>434</v>
      </c>
      <c r="H307" s="195">
        <v>46230</v>
      </c>
      <c r="I307" s="195">
        <f t="shared" si="33"/>
        <v>46242</v>
      </c>
      <c r="J307" s="195">
        <f t="shared" si="31"/>
        <v>46302</v>
      </c>
      <c r="T307" s="118" t="str">
        <f t="shared" ca="1" si="30"/>
        <v>54DAYS LEFT</v>
      </c>
    </row>
    <row r="308" spans="2:20" s="193" customFormat="1" x14ac:dyDescent="0.35">
      <c r="B308" s="193" t="s">
        <v>435</v>
      </c>
      <c r="C308" s="194" t="s">
        <v>436</v>
      </c>
      <c r="D308" s="193" t="s">
        <v>437</v>
      </c>
      <c r="H308" s="195">
        <v>46230</v>
      </c>
      <c r="I308" s="195">
        <f t="shared" si="33"/>
        <v>46242</v>
      </c>
      <c r="J308" s="195">
        <f t="shared" si="31"/>
        <v>46302</v>
      </c>
      <c r="T308" s="118" t="str">
        <f t="shared" ca="1" si="30"/>
        <v>54DAYS LEFT</v>
      </c>
    </row>
    <row r="309" spans="2:20" s="193" customFormat="1" x14ac:dyDescent="0.35">
      <c r="B309" s="193" t="s">
        <v>398</v>
      </c>
      <c r="C309" s="194" t="s">
        <v>438</v>
      </c>
      <c r="H309" s="195">
        <v>46230</v>
      </c>
      <c r="I309" s="195">
        <f t="shared" si="33"/>
        <v>46242</v>
      </c>
      <c r="J309" s="195">
        <f t="shared" si="31"/>
        <v>46302</v>
      </c>
      <c r="T309" s="118" t="str">
        <f t="shared" ref="T309:T374" ca="1" si="34">IF(J309&lt;TODAY(),"ARRIVED",IF(J309-TODAY()&lt;=7,"ARRIVING SOON",J309-TODAY()&amp;"DAYS LEFT"))</f>
        <v>54DAYS LEFT</v>
      </c>
    </row>
    <row r="310" spans="2:20" s="193" customFormat="1" x14ac:dyDescent="0.35">
      <c r="B310" s="193" t="s">
        <v>423</v>
      </c>
      <c r="C310" s="194" t="s">
        <v>439</v>
      </c>
      <c r="H310" s="195">
        <v>46230</v>
      </c>
      <c r="I310" s="195">
        <f t="shared" si="33"/>
        <v>46242</v>
      </c>
      <c r="J310" s="195">
        <f t="shared" si="31"/>
        <v>46302</v>
      </c>
      <c r="T310" s="118" t="str">
        <f t="shared" ca="1" si="34"/>
        <v>54DAYS LEFT</v>
      </c>
    </row>
    <row r="311" spans="2:20" s="193" customFormat="1" x14ac:dyDescent="0.35">
      <c r="B311" s="193" t="s">
        <v>423</v>
      </c>
      <c r="C311" s="194" t="s">
        <v>440</v>
      </c>
      <c r="H311" s="195">
        <v>46230</v>
      </c>
      <c r="I311" s="195">
        <f t="shared" si="33"/>
        <v>46242</v>
      </c>
      <c r="J311" s="195">
        <f t="shared" si="31"/>
        <v>46302</v>
      </c>
      <c r="T311" s="118" t="str">
        <f t="shared" ca="1" si="34"/>
        <v>54DAYS LEFT</v>
      </c>
    </row>
    <row r="312" spans="2:20" s="193" customFormat="1" x14ac:dyDescent="0.35">
      <c r="B312" s="193" t="s">
        <v>420</v>
      </c>
      <c r="C312" s="194">
        <v>435282636080305</v>
      </c>
      <c r="D312" s="193" t="s">
        <v>434</v>
      </c>
      <c r="H312" s="195">
        <v>46230</v>
      </c>
      <c r="I312" s="195">
        <f t="shared" si="33"/>
        <v>46242</v>
      </c>
      <c r="J312" s="195">
        <f t="shared" si="31"/>
        <v>46302</v>
      </c>
      <c r="T312" s="118" t="str">
        <f t="shared" ca="1" si="34"/>
        <v>54DAYS LEFT</v>
      </c>
    </row>
    <row r="313" spans="2:20" x14ac:dyDescent="0.35">
      <c r="B313" s="115" t="s">
        <v>435</v>
      </c>
      <c r="C313" s="117" t="s">
        <v>441</v>
      </c>
      <c r="H313" s="116">
        <v>46234</v>
      </c>
      <c r="I313" s="195">
        <f t="shared" si="33"/>
        <v>46242</v>
      </c>
      <c r="J313" s="195">
        <f t="shared" si="31"/>
        <v>46302</v>
      </c>
      <c r="T313" s="118" t="str">
        <f t="shared" ca="1" si="34"/>
        <v>54DAYS LEFT</v>
      </c>
    </row>
    <row r="314" spans="2:20" x14ac:dyDescent="0.35">
      <c r="B314" s="115" t="s">
        <v>442</v>
      </c>
      <c r="C314" s="117">
        <v>79022093352426</v>
      </c>
      <c r="H314" s="116">
        <v>46234</v>
      </c>
      <c r="I314" s="195">
        <f t="shared" si="33"/>
        <v>46242</v>
      </c>
      <c r="J314" s="195">
        <f t="shared" si="31"/>
        <v>46302</v>
      </c>
      <c r="T314" s="118" t="str">
        <f t="shared" ca="1" si="34"/>
        <v>54DAYS LEFT</v>
      </c>
    </row>
    <row r="315" spans="2:20" x14ac:dyDescent="0.35">
      <c r="B315" s="115" t="s">
        <v>442</v>
      </c>
      <c r="C315" s="117">
        <v>435288677681062</v>
      </c>
      <c r="H315" s="116">
        <v>46234</v>
      </c>
      <c r="I315" s="195">
        <f t="shared" si="33"/>
        <v>46242</v>
      </c>
      <c r="J315" s="195">
        <f t="shared" si="31"/>
        <v>46302</v>
      </c>
      <c r="T315" s="118" t="str">
        <f t="shared" ca="1" si="34"/>
        <v>54DAYS LEFT</v>
      </c>
    </row>
    <row r="316" spans="2:20" x14ac:dyDescent="0.35">
      <c r="B316" s="115" t="s">
        <v>442</v>
      </c>
      <c r="C316" s="117">
        <v>435288784076899</v>
      </c>
      <c r="H316" s="116">
        <v>46234</v>
      </c>
      <c r="I316" s="195">
        <f t="shared" si="33"/>
        <v>46242</v>
      </c>
      <c r="J316" s="195">
        <f t="shared" si="31"/>
        <v>46302</v>
      </c>
      <c r="T316" s="118" t="str">
        <f t="shared" ca="1" si="34"/>
        <v>54DAYS LEFT</v>
      </c>
    </row>
    <row r="317" spans="2:20" x14ac:dyDescent="0.35">
      <c r="B317" s="115" t="s">
        <v>443</v>
      </c>
      <c r="C317" s="117">
        <v>435287525816698</v>
      </c>
      <c r="H317" s="116">
        <v>46234</v>
      </c>
      <c r="I317" s="195">
        <f t="shared" si="33"/>
        <v>46242</v>
      </c>
      <c r="J317" s="195">
        <f t="shared" si="31"/>
        <v>46302</v>
      </c>
      <c r="T317" s="118" t="str">
        <f t="shared" ca="1" si="34"/>
        <v>54DAYS LEFT</v>
      </c>
    </row>
    <row r="318" spans="2:20" x14ac:dyDescent="0.35">
      <c r="B318" s="115" t="s">
        <v>442</v>
      </c>
      <c r="C318" s="117">
        <v>79022012108182</v>
      </c>
      <c r="H318" s="116">
        <v>46234</v>
      </c>
      <c r="I318" s="195">
        <f t="shared" si="33"/>
        <v>46242</v>
      </c>
      <c r="J318" s="195">
        <f t="shared" si="31"/>
        <v>46302</v>
      </c>
      <c r="T318" s="118" t="str">
        <f t="shared" ca="1" si="34"/>
        <v>54DAYS LEFT</v>
      </c>
    </row>
    <row r="319" spans="2:20" x14ac:dyDescent="0.35">
      <c r="B319" s="115" t="s">
        <v>442</v>
      </c>
      <c r="C319" s="117">
        <v>7902174788266</v>
      </c>
      <c r="H319" s="116">
        <v>46234</v>
      </c>
      <c r="I319" s="195">
        <f t="shared" si="33"/>
        <v>46242</v>
      </c>
      <c r="J319" s="195">
        <f t="shared" si="31"/>
        <v>46302</v>
      </c>
      <c r="T319" s="118" t="str">
        <f t="shared" ca="1" si="34"/>
        <v>54DAYS LEFT</v>
      </c>
    </row>
    <row r="320" spans="2:20" x14ac:dyDescent="0.35">
      <c r="B320" s="115" t="s">
        <v>442</v>
      </c>
      <c r="C320" s="117" t="s">
        <v>444</v>
      </c>
      <c r="H320" s="116">
        <v>46234</v>
      </c>
      <c r="I320" s="195">
        <f t="shared" si="33"/>
        <v>46242</v>
      </c>
      <c r="J320" s="195">
        <f t="shared" si="31"/>
        <v>46302</v>
      </c>
      <c r="T320" s="118" t="str">
        <f t="shared" ca="1" si="34"/>
        <v>54DAYS LEFT</v>
      </c>
    </row>
    <row r="321" spans="2:20" x14ac:dyDescent="0.35">
      <c r="B321" s="115" t="s">
        <v>442</v>
      </c>
      <c r="C321" s="117" t="s">
        <v>445</v>
      </c>
      <c r="D321" s="115" t="s">
        <v>450</v>
      </c>
      <c r="H321" s="116">
        <v>46234</v>
      </c>
      <c r="I321" s="195">
        <f t="shared" si="33"/>
        <v>46242</v>
      </c>
      <c r="J321" s="195">
        <f t="shared" si="31"/>
        <v>46302</v>
      </c>
      <c r="T321" s="118" t="str">
        <f t="shared" ca="1" si="34"/>
        <v>54DAYS LEFT</v>
      </c>
    </row>
    <row r="322" spans="2:20" x14ac:dyDescent="0.35">
      <c r="B322" s="115" t="s">
        <v>124</v>
      </c>
      <c r="C322" s="117" t="s">
        <v>446</v>
      </c>
      <c r="D322" s="115" t="s">
        <v>449</v>
      </c>
      <c r="H322" s="116">
        <v>46234</v>
      </c>
      <c r="I322" s="195">
        <f t="shared" si="33"/>
        <v>46242</v>
      </c>
      <c r="J322" s="195">
        <f t="shared" si="31"/>
        <v>46302</v>
      </c>
      <c r="T322" s="118" t="str">
        <f t="shared" ca="1" si="34"/>
        <v>54DAYS LEFT</v>
      </c>
    </row>
    <row r="323" spans="2:20" x14ac:dyDescent="0.35">
      <c r="B323" s="115" t="s">
        <v>483</v>
      </c>
      <c r="D323" s="115" t="s">
        <v>484</v>
      </c>
      <c r="H323" s="116">
        <v>46234</v>
      </c>
      <c r="I323" s="195">
        <f t="shared" si="33"/>
        <v>46242</v>
      </c>
      <c r="J323" s="195">
        <f t="shared" si="31"/>
        <v>46302</v>
      </c>
      <c r="T323" s="118" t="str">
        <f t="shared" ca="1" si="34"/>
        <v>54DAYS LEFT</v>
      </c>
    </row>
    <row r="324" spans="2:20" x14ac:dyDescent="0.35">
      <c r="B324" s="115" t="s">
        <v>420</v>
      </c>
      <c r="C324" s="117" t="s">
        <v>447</v>
      </c>
      <c r="D324" s="115" t="s">
        <v>448</v>
      </c>
      <c r="H324" s="116">
        <v>46234</v>
      </c>
      <c r="I324" s="195">
        <f t="shared" si="33"/>
        <v>46242</v>
      </c>
      <c r="J324" s="195">
        <f t="shared" si="31"/>
        <v>46302</v>
      </c>
      <c r="T324" s="118" t="str">
        <f t="shared" ca="1" si="34"/>
        <v>54DAYS LEFT</v>
      </c>
    </row>
    <row r="325" spans="2:20" x14ac:dyDescent="0.35">
      <c r="B325" s="115" t="s">
        <v>442</v>
      </c>
      <c r="C325" s="117">
        <v>7734341751427</v>
      </c>
      <c r="H325" s="116">
        <v>46234</v>
      </c>
      <c r="I325" s="195">
        <f t="shared" si="33"/>
        <v>46242</v>
      </c>
      <c r="J325" s="195">
        <f t="shared" si="31"/>
        <v>46302</v>
      </c>
      <c r="T325" s="118" t="str">
        <f t="shared" ca="1" si="34"/>
        <v>54DAYS LEFT</v>
      </c>
    </row>
    <row r="326" spans="2:20" x14ac:dyDescent="0.35">
      <c r="B326" s="115" t="s">
        <v>260</v>
      </c>
      <c r="C326" s="117">
        <v>435291854224230</v>
      </c>
      <c r="D326" s="115" t="s">
        <v>451</v>
      </c>
      <c r="H326" s="116">
        <v>46234</v>
      </c>
      <c r="I326" s="195">
        <f t="shared" si="33"/>
        <v>46242</v>
      </c>
      <c r="J326" s="195">
        <f t="shared" si="31"/>
        <v>46302</v>
      </c>
      <c r="T326" s="118" t="str">
        <f t="shared" ca="1" si="34"/>
        <v>54DAYS LEFT</v>
      </c>
    </row>
    <row r="327" spans="2:20" x14ac:dyDescent="0.35">
      <c r="B327" s="115" t="s">
        <v>488</v>
      </c>
      <c r="D327" s="115" t="s">
        <v>487</v>
      </c>
      <c r="H327" s="116">
        <v>46237</v>
      </c>
      <c r="I327" s="195">
        <f t="shared" si="33"/>
        <v>46249</v>
      </c>
      <c r="J327" s="195">
        <f t="shared" si="31"/>
        <v>46309</v>
      </c>
      <c r="T327" s="118" t="str">
        <f t="shared" ca="1" si="34"/>
        <v>61DAYS LEFT</v>
      </c>
    </row>
    <row r="328" spans="2:20" x14ac:dyDescent="0.35">
      <c r="B328" s="115" t="s">
        <v>467</v>
      </c>
      <c r="C328" s="117">
        <v>7912778662266</v>
      </c>
      <c r="D328" s="115" t="s">
        <v>373</v>
      </c>
      <c r="H328" s="116">
        <v>46237</v>
      </c>
      <c r="I328" s="195">
        <f t="shared" si="33"/>
        <v>46249</v>
      </c>
      <c r="J328" s="195">
        <f t="shared" si="31"/>
        <v>46309</v>
      </c>
      <c r="T328" s="118" t="str">
        <f t="shared" ca="1" si="34"/>
        <v>61DAYS LEFT</v>
      </c>
    </row>
    <row r="329" spans="2:20" x14ac:dyDescent="0.35">
      <c r="B329" s="115" t="s">
        <v>464</v>
      </c>
      <c r="C329" s="117">
        <v>7902316720839</v>
      </c>
      <c r="D329" s="115" t="s">
        <v>373</v>
      </c>
      <c r="H329" s="116">
        <v>46237</v>
      </c>
      <c r="I329" s="195">
        <f t="shared" si="33"/>
        <v>46249</v>
      </c>
      <c r="J329" s="195">
        <f t="shared" si="31"/>
        <v>46309</v>
      </c>
      <c r="T329" s="118" t="str">
        <f t="shared" ca="1" si="34"/>
        <v>61DAYS LEFT</v>
      </c>
    </row>
    <row r="330" spans="2:20" x14ac:dyDescent="0.35">
      <c r="B330" s="115" t="s">
        <v>467</v>
      </c>
      <c r="C330" s="117">
        <v>465554178653429</v>
      </c>
      <c r="H330" s="116">
        <v>46237</v>
      </c>
      <c r="I330" s="195">
        <f t="shared" si="33"/>
        <v>46249</v>
      </c>
      <c r="J330" s="195">
        <f t="shared" si="31"/>
        <v>46309</v>
      </c>
      <c r="T330" s="118" t="str">
        <f t="shared" ca="1" si="34"/>
        <v>61DAYS LEFT</v>
      </c>
    </row>
    <row r="331" spans="2:20" x14ac:dyDescent="0.35">
      <c r="B331" s="115" t="s">
        <v>467</v>
      </c>
      <c r="C331" s="117" t="s">
        <v>482</v>
      </c>
      <c r="H331" s="116">
        <v>46237</v>
      </c>
      <c r="I331" s="195">
        <f t="shared" si="33"/>
        <v>46249</v>
      </c>
      <c r="J331" s="195">
        <f t="shared" si="31"/>
        <v>46309</v>
      </c>
      <c r="T331" s="118" t="str">
        <f t="shared" ca="1" si="34"/>
        <v>61DAYS LEFT</v>
      </c>
    </row>
    <row r="332" spans="2:20" x14ac:dyDescent="0.35">
      <c r="B332" s="115" t="s">
        <v>467</v>
      </c>
      <c r="C332" s="117" t="s">
        <v>481</v>
      </c>
      <c r="H332" s="116">
        <v>46237</v>
      </c>
      <c r="I332" s="195">
        <f t="shared" si="33"/>
        <v>46249</v>
      </c>
      <c r="J332" s="195">
        <f t="shared" si="31"/>
        <v>46309</v>
      </c>
      <c r="T332" s="118" t="str">
        <f t="shared" ca="1" si="34"/>
        <v>61DAYS LEFT</v>
      </c>
    </row>
    <row r="333" spans="2:20" x14ac:dyDescent="0.35">
      <c r="B333" s="115" t="s">
        <v>467</v>
      </c>
      <c r="C333" s="117" t="s">
        <v>480</v>
      </c>
      <c r="H333" s="116">
        <v>46237</v>
      </c>
      <c r="I333" s="195">
        <f t="shared" si="33"/>
        <v>46249</v>
      </c>
      <c r="J333" s="195">
        <f t="shared" si="31"/>
        <v>46309</v>
      </c>
      <c r="T333" s="118" t="str">
        <f t="shared" ca="1" si="34"/>
        <v>61DAYS LEFT</v>
      </c>
    </row>
    <row r="334" spans="2:20" x14ac:dyDescent="0.35">
      <c r="B334" s="115" t="s">
        <v>467</v>
      </c>
      <c r="C334" s="117" t="s">
        <v>478</v>
      </c>
      <c r="D334" s="115" t="s">
        <v>479</v>
      </c>
      <c r="H334" s="116">
        <v>46237</v>
      </c>
      <c r="I334" s="195">
        <f t="shared" si="33"/>
        <v>46249</v>
      </c>
      <c r="J334" s="195">
        <f t="shared" si="31"/>
        <v>46309</v>
      </c>
      <c r="T334" s="118" t="str">
        <f t="shared" ca="1" si="34"/>
        <v>61DAYS LEFT</v>
      </c>
    </row>
    <row r="335" spans="2:20" x14ac:dyDescent="0.35">
      <c r="B335" s="115" t="s">
        <v>467</v>
      </c>
      <c r="C335" s="117" t="s">
        <v>477</v>
      </c>
      <c r="H335" s="116">
        <v>46237</v>
      </c>
      <c r="I335" s="195">
        <f t="shared" si="33"/>
        <v>46249</v>
      </c>
      <c r="J335" s="195">
        <f t="shared" si="31"/>
        <v>46309</v>
      </c>
      <c r="T335" s="118" t="str">
        <f t="shared" ca="1" si="34"/>
        <v>61DAYS LEFT</v>
      </c>
    </row>
    <row r="336" spans="2:20" x14ac:dyDescent="0.35">
      <c r="B336" s="115" t="s">
        <v>467</v>
      </c>
      <c r="C336" s="117">
        <v>777432272067966</v>
      </c>
      <c r="H336" s="116">
        <v>46237</v>
      </c>
      <c r="I336" s="195">
        <f t="shared" si="33"/>
        <v>46249</v>
      </c>
      <c r="J336" s="195">
        <f t="shared" si="31"/>
        <v>46309</v>
      </c>
      <c r="T336" s="118" t="str">
        <f t="shared" ca="1" si="34"/>
        <v>61DAYS LEFT</v>
      </c>
    </row>
    <row r="337" spans="2:20" x14ac:dyDescent="0.35">
      <c r="B337" s="115" t="s">
        <v>467</v>
      </c>
      <c r="C337" s="117">
        <v>777432295605248</v>
      </c>
      <c r="H337" s="116">
        <v>46237</v>
      </c>
      <c r="I337" s="195">
        <f t="shared" si="33"/>
        <v>46249</v>
      </c>
      <c r="J337" s="195">
        <f t="shared" si="31"/>
        <v>46309</v>
      </c>
      <c r="T337" s="118" t="str">
        <f t="shared" ca="1" si="34"/>
        <v>61DAYS LEFT</v>
      </c>
    </row>
    <row r="338" spans="2:20" x14ac:dyDescent="0.35">
      <c r="B338" s="115" t="s">
        <v>467</v>
      </c>
      <c r="C338" s="117">
        <v>777432265911904</v>
      </c>
      <c r="H338" s="116">
        <v>46237</v>
      </c>
      <c r="I338" s="195">
        <f t="shared" si="33"/>
        <v>46249</v>
      </c>
      <c r="J338" s="195">
        <f t="shared" si="31"/>
        <v>46309</v>
      </c>
      <c r="T338" s="118" t="str">
        <f t="shared" ca="1" si="34"/>
        <v>61DAYS LEFT</v>
      </c>
    </row>
    <row r="339" spans="2:20" x14ac:dyDescent="0.35">
      <c r="B339" s="115" t="s">
        <v>467</v>
      </c>
      <c r="C339" s="117">
        <v>777431664744125</v>
      </c>
      <c r="D339" s="115" t="s">
        <v>476</v>
      </c>
      <c r="H339" s="116">
        <v>46237</v>
      </c>
      <c r="I339" s="195">
        <f t="shared" si="33"/>
        <v>46249</v>
      </c>
      <c r="J339" s="195">
        <f t="shared" si="31"/>
        <v>46309</v>
      </c>
      <c r="T339" s="118" t="str">
        <f t="shared" ca="1" si="34"/>
        <v>61DAYS LEFT</v>
      </c>
    </row>
    <row r="340" spans="2:20" x14ac:dyDescent="0.35">
      <c r="B340" s="115" t="s">
        <v>464</v>
      </c>
      <c r="C340" s="117">
        <v>777432670932182</v>
      </c>
      <c r="D340" s="115" t="s">
        <v>373</v>
      </c>
      <c r="H340" s="116">
        <v>46237</v>
      </c>
      <c r="I340" s="195">
        <f t="shared" si="33"/>
        <v>46249</v>
      </c>
      <c r="J340" s="195">
        <f t="shared" si="31"/>
        <v>46309</v>
      </c>
      <c r="T340" s="118" t="str">
        <f t="shared" ca="1" si="34"/>
        <v>61DAYS LEFT</v>
      </c>
    </row>
    <row r="341" spans="2:20" x14ac:dyDescent="0.35">
      <c r="B341" s="115" t="s">
        <v>467</v>
      </c>
      <c r="C341" s="117">
        <v>777432304286817</v>
      </c>
      <c r="H341" s="116">
        <v>46237</v>
      </c>
      <c r="I341" s="195">
        <f t="shared" si="33"/>
        <v>46249</v>
      </c>
      <c r="J341" s="195">
        <f t="shared" si="31"/>
        <v>46309</v>
      </c>
      <c r="T341" s="118" t="str">
        <f t="shared" ca="1" si="34"/>
        <v>61DAYS LEFT</v>
      </c>
    </row>
    <row r="342" spans="2:20" x14ac:dyDescent="0.35">
      <c r="B342" s="115" t="s">
        <v>467</v>
      </c>
      <c r="C342" s="117">
        <v>777431516014805</v>
      </c>
      <c r="H342" s="116">
        <v>46237</v>
      </c>
      <c r="I342" s="195">
        <f t="shared" si="33"/>
        <v>46249</v>
      </c>
      <c r="J342" s="195">
        <f t="shared" si="31"/>
        <v>46309</v>
      </c>
      <c r="T342" s="118" t="str">
        <f t="shared" ca="1" si="34"/>
        <v>61DAYS LEFT</v>
      </c>
    </row>
    <row r="343" spans="2:20" x14ac:dyDescent="0.35">
      <c r="B343" s="115" t="s">
        <v>467</v>
      </c>
      <c r="C343" s="117">
        <v>777431551796365</v>
      </c>
      <c r="D343" s="115" t="s">
        <v>475</v>
      </c>
      <c r="H343" s="116">
        <v>46237</v>
      </c>
      <c r="I343" s="195">
        <f t="shared" si="33"/>
        <v>46249</v>
      </c>
      <c r="J343" s="195">
        <f t="shared" si="31"/>
        <v>46309</v>
      </c>
      <c r="T343" s="118" t="str">
        <f t="shared" ca="1" si="34"/>
        <v>61DAYS LEFT</v>
      </c>
    </row>
    <row r="344" spans="2:20" x14ac:dyDescent="0.35">
      <c r="B344" s="115" t="s">
        <v>467</v>
      </c>
      <c r="C344" s="117">
        <v>777432337609068</v>
      </c>
      <c r="H344" s="116">
        <v>46237</v>
      </c>
      <c r="I344" s="195">
        <f t="shared" si="33"/>
        <v>46249</v>
      </c>
      <c r="J344" s="195">
        <f t="shared" si="31"/>
        <v>46309</v>
      </c>
      <c r="T344" s="118" t="str">
        <f t="shared" ca="1" si="34"/>
        <v>61DAYS LEFT</v>
      </c>
    </row>
    <row r="345" spans="2:20" x14ac:dyDescent="0.35">
      <c r="B345" s="115" t="s">
        <v>467</v>
      </c>
      <c r="C345" s="117">
        <v>777432346125332</v>
      </c>
      <c r="H345" s="116">
        <v>46237</v>
      </c>
      <c r="I345" s="195">
        <f t="shared" si="33"/>
        <v>46249</v>
      </c>
      <c r="J345" s="195">
        <f t="shared" si="31"/>
        <v>46309</v>
      </c>
      <c r="T345" s="118" t="str">
        <f t="shared" ca="1" si="34"/>
        <v>61DAYS LEFT</v>
      </c>
    </row>
    <row r="346" spans="2:20" x14ac:dyDescent="0.35">
      <c r="B346" s="115" t="s">
        <v>457</v>
      </c>
      <c r="C346" s="117">
        <v>773434597111944</v>
      </c>
      <c r="D346" s="115" t="s">
        <v>474</v>
      </c>
      <c r="H346" s="116">
        <v>46237</v>
      </c>
      <c r="I346" s="195">
        <f t="shared" si="33"/>
        <v>46249</v>
      </c>
      <c r="J346" s="195">
        <f t="shared" si="31"/>
        <v>46309</v>
      </c>
      <c r="T346" s="118" t="str">
        <f t="shared" ca="1" si="34"/>
        <v>61DAYS LEFT</v>
      </c>
    </row>
    <row r="347" spans="2:20" x14ac:dyDescent="0.35">
      <c r="B347" s="115" t="s">
        <v>467</v>
      </c>
      <c r="C347" s="117" t="s">
        <v>472</v>
      </c>
      <c r="D347" s="115" t="s">
        <v>473</v>
      </c>
      <c r="H347" s="116">
        <v>46237</v>
      </c>
      <c r="I347" s="195">
        <f t="shared" si="33"/>
        <v>46249</v>
      </c>
      <c r="J347" s="195">
        <f t="shared" si="31"/>
        <v>46309</v>
      </c>
      <c r="T347" s="118" t="str">
        <f t="shared" ca="1" si="34"/>
        <v>61DAYS LEFT</v>
      </c>
    </row>
    <row r="348" spans="2:20" x14ac:dyDescent="0.35">
      <c r="B348" s="115" t="s">
        <v>467</v>
      </c>
      <c r="C348" s="117">
        <v>79127381996634</v>
      </c>
      <c r="D348" s="115" t="s">
        <v>471</v>
      </c>
      <c r="H348" s="116">
        <v>46237</v>
      </c>
      <c r="I348" s="195">
        <f t="shared" si="33"/>
        <v>46249</v>
      </c>
      <c r="J348" s="195">
        <f t="shared" si="31"/>
        <v>46309</v>
      </c>
      <c r="T348" s="118" t="str">
        <f t="shared" ca="1" si="34"/>
        <v>61DAYS LEFT</v>
      </c>
    </row>
    <row r="349" spans="2:20" x14ac:dyDescent="0.35">
      <c r="B349" s="115" t="s">
        <v>467</v>
      </c>
      <c r="C349" s="117" t="s">
        <v>470</v>
      </c>
      <c r="D349" s="115" t="s">
        <v>162</v>
      </c>
      <c r="H349" s="116">
        <v>46237</v>
      </c>
      <c r="I349" s="195">
        <f t="shared" si="33"/>
        <v>46249</v>
      </c>
      <c r="J349" s="195">
        <f t="shared" si="31"/>
        <v>46309</v>
      </c>
      <c r="T349" s="118" t="str">
        <f t="shared" ca="1" si="34"/>
        <v>61DAYS LEFT</v>
      </c>
    </row>
    <row r="350" spans="2:20" x14ac:dyDescent="0.35">
      <c r="B350" s="115" t="s">
        <v>457</v>
      </c>
      <c r="C350" s="117">
        <v>435293883015726</v>
      </c>
      <c r="D350" s="115" t="s">
        <v>469</v>
      </c>
      <c r="H350" s="116">
        <v>46237</v>
      </c>
      <c r="I350" s="195">
        <f t="shared" si="33"/>
        <v>46249</v>
      </c>
      <c r="J350" s="195">
        <f t="shared" si="31"/>
        <v>46309</v>
      </c>
      <c r="T350" s="118" t="str">
        <f t="shared" ca="1" si="34"/>
        <v>61DAYS LEFT</v>
      </c>
    </row>
    <row r="351" spans="2:20" x14ac:dyDescent="0.35">
      <c r="B351" s="115" t="s">
        <v>467</v>
      </c>
      <c r="C351" s="117">
        <v>46555672608089</v>
      </c>
      <c r="H351" s="116">
        <v>46237</v>
      </c>
      <c r="I351" s="195">
        <f t="shared" si="33"/>
        <v>46249</v>
      </c>
      <c r="J351" s="195">
        <f t="shared" si="31"/>
        <v>46309</v>
      </c>
      <c r="T351" s="118" t="str">
        <f t="shared" ca="1" si="34"/>
        <v>61DAYS LEFT</v>
      </c>
    </row>
    <row r="352" spans="2:20" x14ac:dyDescent="0.35">
      <c r="B352" s="115" t="s">
        <v>467</v>
      </c>
      <c r="C352" s="117">
        <v>465553688515251</v>
      </c>
      <c r="H352" s="116">
        <v>46237</v>
      </c>
      <c r="I352" s="195">
        <f t="shared" si="33"/>
        <v>46249</v>
      </c>
      <c r="J352" s="195">
        <f t="shared" si="31"/>
        <v>46309</v>
      </c>
      <c r="T352" s="118" t="str">
        <f t="shared" ca="1" si="34"/>
        <v>61DAYS LEFT</v>
      </c>
    </row>
    <row r="353" spans="2:20" x14ac:dyDescent="0.35">
      <c r="B353" s="115" t="s">
        <v>467</v>
      </c>
      <c r="C353" s="117">
        <v>465553644169749</v>
      </c>
      <c r="H353" s="116">
        <v>46237</v>
      </c>
      <c r="I353" s="195">
        <f t="shared" si="33"/>
        <v>46249</v>
      </c>
      <c r="J353" s="195">
        <f t="shared" si="31"/>
        <v>46309</v>
      </c>
      <c r="T353" s="118" t="str">
        <f t="shared" ca="1" si="34"/>
        <v>61DAYS LEFT</v>
      </c>
    </row>
    <row r="354" spans="2:20" x14ac:dyDescent="0.35">
      <c r="B354" s="115" t="s">
        <v>464</v>
      </c>
      <c r="C354" s="117">
        <v>79127262439238</v>
      </c>
      <c r="D354" s="115" t="s">
        <v>468</v>
      </c>
      <c r="H354" s="116">
        <v>46237</v>
      </c>
      <c r="I354" s="195">
        <f t="shared" si="33"/>
        <v>46249</v>
      </c>
      <c r="J354" s="195">
        <f t="shared" si="31"/>
        <v>46309</v>
      </c>
      <c r="T354" s="118" t="str">
        <f t="shared" ca="1" si="34"/>
        <v>61DAYS LEFT</v>
      </c>
    </row>
    <row r="355" spans="2:20" x14ac:dyDescent="0.35">
      <c r="B355" s="115" t="s">
        <v>467</v>
      </c>
      <c r="C355" s="117">
        <v>465553797196893</v>
      </c>
      <c r="H355" s="116">
        <v>46237</v>
      </c>
      <c r="I355" s="195">
        <f t="shared" si="33"/>
        <v>46249</v>
      </c>
      <c r="J355" s="195">
        <f t="shared" si="31"/>
        <v>46309</v>
      </c>
      <c r="T355" s="118" t="str">
        <f t="shared" ca="1" si="34"/>
        <v>61DAYS LEFT</v>
      </c>
    </row>
    <row r="356" spans="2:20" x14ac:dyDescent="0.35">
      <c r="B356" s="115" t="s">
        <v>467</v>
      </c>
      <c r="C356" s="117">
        <v>465553562872161</v>
      </c>
      <c r="H356" s="116">
        <v>46237</v>
      </c>
      <c r="I356" s="195">
        <f t="shared" si="33"/>
        <v>46249</v>
      </c>
      <c r="J356" s="195">
        <f t="shared" si="31"/>
        <v>46309</v>
      </c>
      <c r="T356" s="118" t="str">
        <f t="shared" ca="1" si="34"/>
        <v>61DAYS LEFT</v>
      </c>
    </row>
    <row r="357" spans="2:20" x14ac:dyDescent="0.35">
      <c r="B357" s="115" t="s">
        <v>464</v>
      </c>
      <c r="C357" s="117">
        <v>77343465882372</v>
      </c>
      <c r="H357" s="116">
        <v>46237</v>
      </c>
      <c r="I357" s="195">
        <f t="shared" si="33"/>
        <v>46249</v>
      </c>
      <c r="J357" s="195">
        <f t="shared" si="31"/>
        <v>46309</v>
      </c>
      <c r="T357" s="118" t="str">
        <f t="shared" ca="1" si="34"/>
        <v>61DAYS LEFT</v>
      </c>
    </row>
    <row r="358" spans="2:20" x14ac:dyDescent="0.35">
      <c r="B358" s="115" t="s">
        <v>467</v>
      </c>
      <c r="C358" s="117">
        <v>777432304675175</v>
      </c>
      <c r="H358" s="116">
        <v>46237</v>
      </c>
      <c r="I358" s="195">
        <f t="shared" si="33"/>
        <v>46249</v>
      </c>
      <c r="J358" s="195">
        <f t="shared" si="31"/>
        <v>46309</v>
      </c>
      <c r="T358" s="118" t="str">
        <f t="shared" ca="1" si="34"/>
        <v>61DAYS LEFT</v>
      </c>
    </row>
    <row r="359" spans="2:20" x14ac:dyDescent="0.35">
      <c r="B359" s="115" t="s">
        <v>467</v>
      </c>
      <c r="C359" s="117">
        <v>777431625942056</v>
      </c>
      <c r="H359" s="116">
        <v>46237</v>
      </c>
      <c r="I359" s="195">
        <f t="shared" si="33"/>
        <v>46249</v>
      </c>
      <c r="J359" s="195">
        <f t="shared" si="31"/>
        <v>46309</v>
      </c>
      <c r="T359" s="118" t="str">
        <f t="shared" ca="1" si="34"/>
        <v>61DAYS LEFT</v>
      </c>
    </row>
    <row r="360" spans="2:20" x14ac:dyDescent="0.35">
      <c r="B360" s="115" t="s">
        <v>467</v>
      </c>
      <c r="C360" s="117">
        <v>79127748662266</v>
      </c>
      <c r="D360" s="115" t="s">
        <v>373</v>
      </c>
      <c r="H360" s="116">
        <v>46237</v>
      </c>
      <c r="I360" s="195">
        <f t="shared" si="33"/>
        <v>46249</v>
      </c>
      <c r="J360" s="195">
        <f t="shared" si="31"/>
        <v>46309</v>
      </c>
      <c r="T360" s="118" t="str">
        <f t="shared" ca="1" si="34"/>
        <v>61DAYS LEFT</v>
      </c>
    </row>
    <row r="361" spans="2:20" x14ac:dyDescent="0.35">
      <c r="B361" s="115" t="s">
        <v>464</v>
      </c>
      <c r="C361" s="117">
        <v>79023164720839</v>
      </c>
      <c r="D361" s="115" t="s">
        <v>373</v>
      </c>
      <c r="H361" s="116">
        <v>46237</v>
      </c>
      <c r="I361" s="195">
        <f t="shared" si="33"/>
        <v>46249</v>
      </c>
      <c r="J361" s="195">
        <f t="shared" si="31"/>
        <v>46309</v>
      </c>
      <c r="T361" s="118" t="str">
        <f t="shared" ca="1" si="34"/>
        <v>61DAYS LEFT</v>
      </c>
    </row>
    <row r="362" spans="2:20" x14ac:dyDescent="0.35">
      <c r="B362" s="115" t="s">
        <v>464</v>
      </c>
      <c r="C362" s="117">
        <v>7.7743266126612695E+18</v>
      </c>
      <c r="D362" s="115" t="s">
        <v>373</v>
      </c>
      <c r="H362" s="116">
        <v>46237</v>
      </c>
      <c r="I362" s="195">
        <f t="shared" si="33"/>
        <v>46249</v>
      </c>
      <c r="J362" s="195">
        <f t="shared" si="31"/>
        <v>46309</v>
      </c>
      <c r="T362" s="118" t="str">
        <f t="shared" ca="1" si="34"/>
        <v>61DAYS LEFT</v>
      </c>
    </row>
    <row r="363" spans="2:20" x14ac:dyDescent="0.35">
      <c r="B363" s="115" t="s">
        <v>467</v>
      </c>
      <c r="C363" s="117">
        <v>79127758625691</v>
      </c>
      <c r="D363" s="115" t="s">
        <v>449</v>
      </c>
      <c r="H363" s="116">
        <v>46237</v>
      </c>
      <c r="I363" s="195">
        <f t="shared" si="33"/>
        <v>46249</v>
      </c>
      <c r="J363" s="195">
        <f t="shared" si="31"/>
        <v>46309</v>
      </c>
      <c r="T363" s="118" t="str">
        <f t="shared" ca="1" si="34"/>
        <v>61DAYS LEFT</v>
      </c>
    </row>
    <row r="364" spans="2:20" x14ac:dyDescent="0.35">
      <c r="B364" s="115" t="s">
        <v>186</v>
      </c>
      <c r="C364" s="117">
        <v>9822906294723</v>
      </c>
      <c r="D364" s="115" t="s">
        <v>461</v>
      </c>
      <c r="H364" s="116">
        <v>46237</v>
      </c>
      <c r="I364" s="195">
        <f t="shared" si="33"/>
        <v>46249</v>
      </c>
      <c r="J364" s="195">
        <f t="shared" si="31"/>
        <v>46309</v>
      </c>
      <c r="T364" s="118" t="str">
        <f t="shared" ca="1" si="34"/>
        <v>61DAYS LEFT</v>
      </c>
    </row>
    <row r="365" spans="2:20" x14ac:dyDescent="0.35">
      <c r="B365" s="115" t="s">
        <v>467</v>
      </c>
      <c r="C365" s="117">
        <v>485554917625522</v>
      </c>
      <c r="D365" s="115" t="s">
        <v>373</v>
      </c>
      <c r="H365" s="116">
        <v>46237</v>
      </c>
      <c r="I365" s="195">
        <f t="shared" si="33"/>
        <v>46249</v>
      </c>
      <c r="J365" s="195">
        <f t="shared" si="31"/>
        <v>46309</v>
      </c>
      <c r="T365" s="118" t="str">
        <f t="shared" ca="1" si="34"/>
        <v>61DAYS LEFT</v>
      </c>
    </row>
    <row r="366" spans="2:20" x14ac:dyDescent="0.35">
      <c r="B366" s="115" t="s">
        <v>467</v>
      </c>
      <c r="C366" s="117">
        <v>465552557274330</v>
      </c>
      <c r="H366" s="116">
        <v>46237</v>
      </c>
      <c r="I366" s="195">
        <f t="shared" si="33"/>
        <v>46249</v>
      </c>
      <c r="J366" s="195">
        <f t="shared" si="31"/>
        <v>46309</v>
      </c>
      <c r="T366" s="118" t="str">
        <f t="shared" ca="1" si="34"/>
        <v>61DAYS LEFT</v>
      </c>
    </row>
    <row r="367" spans="2:20" x14ac:dyDescent="0.35">
      <c r="B367" s="115" t="s">
        <v>467</v>
      </c>
      <c r="C367" s="117">
        <v>7912751807785</v>
      </c>
      <c r="H367" s="116">
        <v>46237</v>
      </c>
      <c r="I367" s="195">
        <f t="shared" si="33"/>
        <v>46249</v>
      </c>
      <c r="J367" s="195">
        <f t="shared" si="31"/>
        <v>46309</v>
      </c>
      <c r="T367" s="118" t="str">
        <f t="shared" ca="1" si="34"/>
        <v>61DAYS LEFT</v>
      </c>
    </row>
    <row r="368" spans="2:20" x14ac:dyDescent="0.35">
      <c r="B368" s="115" t="s">
        <v>467</v>
      </c>
      <c r="C368" s="117">
        <v>9818410943308</v>
      </c>
      <c r="H368" s="116">
        <v>46237</v>
      </c>
      <c r="I368" s="195">
        <f t="shared" si="33"/>
        <v>46249</v>
      </c>
      <c r="J368" s="195">
        <f t="shared" si="31"/>
        <v>46309</v>
      </c>
      <c r="T368" s="118" t="str">
        <f t="shared" ca="1" si="34"/>
        <v>61DAYS LEFT</v>
      </c>
    </row>
    <row r="369" spans="2:20" x14ac:dyDescent="0.35">
      <c r="B369" s="115" t="s">
        <v>457</v>
      </c>
      <c r="C369" s="117">
        <v>79023225521835</v>
      </c>
      <c r="H369" s="116">
        <v>46237</v>
      </c>
      <c r="I369" s="195">
        <f t="shared" si="33"/>
        <v>46249</v>
      </c>
      <c r="J369" s="195">
        <f t="shared" si="31"/>
        <v>46309</v>
      </c>
      <c r="T369" s="118" t="str">
        <f t="shared" ca="1" si="34"/>
        <v>61DAYS LEFT</v>
      </c>
    </row>
    <row r="370" spans="2:20" x14ac:dyDescent="0.35">
      <c r="B370" s="115" t="s">
        <v>457</v>
      </c>
      <c r="C370" s="117">
        <v>79023233126736</v>
      </c>
      <c r="H370" s="116">
        <v>46237</v>
      </c>
      <c r="I370" s="195">
        <f t="shared" si="33"/>
        <v>46249</v>
      </c>
      <c r="J370" s="195">
        <f t="shared" si="31"/>
        <v>46309</v>
      </c>
      <c r="T370" s="118" t="str">
        <f t="shared" ca="1" si="34"/>
        <v>61DAYS LEFT</v>
      </c>
    </row>
    <row r="371" spans="2:20" x14ac:dyDescent="0.35">
      <c r="B371" s="115" t="s">
        <v>452</v>
      </c>
      <c r="C371" s="117" t="s">
        <v>453</v>
      </c>
      <c r="H371" s="116">
        <v>46241</v>
      </c>
      <c r="I371" s="195">
        <f t="shared" si="33"/>
        <v>46249</v>
      </c>
      <c r="J371" s="195">
        <f t="shared" si="31"/>
        <v>46309</v>
      </c>
      <c r="T371" s="118" t="str">
        <f t="shared" ca="1" si="34"/>
        <v>61DAYS LEFT</v>
      </c>
    </row>
    <row r="372" spans="2:20" x14ac:dyDescent="0.35">
      <c r="B372" s="115" t="s">
        <v>454</v>
      </c>
      <c r="H372" s="116">
        <v>46241</v>
      </c>
      <c r="I372" s="195">
        <f t="shared" si="33"/>
        <v>46249</v>
      </c>
      <c r="J372" s="195">
        <f t="shared" si="31"/>
        <v>46309</v>
      </c>
      <c r="T372" s="118" t="str">
        <f t="shared" ca="1" si="34"/>
        <v>61DAYS LEFT</v>
      </c>
    </row>
    <row r="373" spans="2:20" x14ac:dyDescent="0.35">
      <c r="B373" s="115" t="s">
        <v>452</v>
      </c>
      <c r="C373" s="117">
        <v>79128830066597</v>
      </c>
      <c r="D373" s="115" t="s">
        <v>373</v>
      </c>
      <c r="H373" s="116">
        <v>46241</v>
      </c>
      <c r="I373" s="195">
        <f t="shared" si="33"/>
        <v>46249</v>
      </c>
      <c r="J373" s="195">
        <f t="shared" si="31"/>
        <v>46309</v>
      </c>
      <c r="T373" s="118" t="str">
        <f t="shared" ca="1" si="34"/>
        <v>61DAYS LEFT</v>
      </c>
    </row>
    <row r="374" spans="2:20" x14ac:dyDescent="0.35">
      <c r="B374" s="115" t="s">
        <v>455</v>
      </c>
      <c r="C374" s="117" t="s">
        <v>456</v>
      </c>
      <c r="H374" s="116">
        <v>46241</v>
      </c>
      <c r="I374" s="195">
        <f t="shared" si="33"/>
        <v>46249</v>
      </c>
      <c r="J374" s="195">
        <f t="shared" si="31"/>
        <v>46309</v>
      </c>
      <c r="T374" s="118" t="str">
        <f t="shared" ca="1" si="34"/>
        <v>61DAYS LEFT</v>
      </c>
    </row>
    <row r="375" spans="2:20" x14ac:dyDescent="0.35">
      <c r="B375" s="115" t="s">
        <v>457</v>
      </c>
      <c r="D375" s="115" t="s">
        <v>373</v>
      </c>
      <c r="H375" s="116">
        <v>46241</v>
      </c>
      <c r="I375" s="195">
        <f t="shared" si="33"/>
        <v>46249</v>
      </c>
      <c r="J375" s="195">
        <f t="shared" si="31"/>
        <v>46309</v>
      </c>
      <c r="T375" s="118" t="str">
        <f t="shared" ref="T375:T438" ca="1" si="35">IF(J375&lt;TODAY(),"ARRIVED",IF(J375-TODAY()&lt;=7,"ARRIVING SOON",J375-TODAY()&amp;"DAYS LEFT"))</f>
        <v>61DAYS LEFT</v>
      </c>
    </row>
    <row r="376" spans="2:20" x14ac:dyDescent="0.35">
      <c r="B376" s="115" t="s">
        <v>452</v>
      </c>
      <c r="C376" s="117" t="s">
        <v>458</v>
      </c>
      <c r="D376" s="115" t="s">
        <v>373</v>
      </c>
      <c r="H376" s="116">
        <v>46241</v>
      </c>
      <c r="I376" s="195">
        <f t="shared" si="33"/>
        <v>46249</v>
      </c>
      <c r="J376" s="195">
        <f t="shared" si="31"/>
        <v>46309</v>
      </c>
      <c r="T376" s="118" t="str">
        <f t="shared" ca="1" si="35"/>
        <v>61DAYS LEFT</v>
      </c>
    </row>
    <row r="377" spans="2:20" x14ac:dyDescent="0.35">
      <c r="B377" s="115" t="s">
        <v>452</v>
      </c>
      <c r="C377" s="117">
        <v>777432854496191</v>
      </c>
      <c r="D377" s="115" t="s">
        <v>460</v>
      </c>
      <c r="H377" s="116">
        <v>46241</v>
      </c>
      <c r="I377" s="195">
        <f t="shared" si="33"/>
        <v>46249</v>
      </c>
      <c r="J377" s="195">
        <f t="shared" si="31"/>
        <v>46309</v>
      </c>
      <c r="T377" s="118" t="str">
        <f t="shared" ca="1" si="35"/>
        <v>61DAYS LEFT</v>
      </c>
    </row>
    <row r="378" spans="2:20" x14ac:dyDescent="0.35">
      <c r="B378" s="115" t="s">
        <v>186</v>
      </c>
      <c r="C378" s="117" t="s">
        <v>459</v>
      </c>
      <c r="D378" s="115" t="s">
        <v>461</v>
      </c>
      <c r="H378" s="116">
        <v>46241</v>
      </c>
      <c r="I378" s="195">
        <f>H378+7+MOD(7-WEEKDAY(H378+7),7)</f>
        <v>46249</v>
      </c>
      <c r="J378" s="195">
        <f t="shared" si="31"/>
        <v>46309</v>
      </c>
      <c r="T378" s="118" t="str">
        <f t="shared" ca="1" si="35"/>
        <v>61DAYS LEFT</v>
      </c>
    </row>
    <row r="379" spans="2:20" x14ac:dyDescent="0.35">
      <c r="B379" s="115" t="s">
        <v>186</v>
      </c>
      <c r="C379" s="117" t="s">
        <v>462</v>
      </c>
      <c r="D379" s="115" t="s">
        <v>463</v>
      </c>
      <c r="H379" s="116">
        <v>46241</v>
      </c>
      <c r="I379" s="195">
        <f>H379+7+MOD(7-WEEKDAY(H379+7),7)</f>
        <v>46249</v>
      </c>
      <c r="J379" s="195">
        <f t="shared" si="31"/>
        <v>46309</v>
      </c>
      <c r="T379" s="118" t="str">
        <f t="shared" ca="1" si="35"/>
        <v>61DAYS LEFT</v>
      </c>
    </row>
    <row r="380" spans="2:20" x14ac:dyDescent="0.35">
      <c r="B380" s="115" t="s">
        <v>464</v>
      </c>
      <c r="C380" s="117" t="s">
        <v>465</v>
      </c>
      <c r="D380" s="115" t="s">
        <v>373</v>
      </c>
      <c r="H380" s="116">
        <v>46241</v>
      </c>
      <c r="I380" s="195">
        <f>H380+7+MOD(7-WEEKDAY(H380+7),7)</f>
        <v>46249</v>
      </c>
      <c r="J380" s="195">
        <f t="shared" si="31"/>
        <v>46309</v>
      </c>
      <c r="T380" s="118" t="str">
        <f t="shared" ca="1" si="35"/>
        <v>61DAYS LEFT</v>
      </c>
    </row>
    <row r="381" spans="2:20" x14ac:dyDescent="0.35">
      <c r="B381" s="115" t="s">
        <v>452</v>
      </c>
      <c r="C381" s="117" t="s">
        <v>466</v>
      </c>
      <c r="D381" s="115" t="s">
        <v>373</v>
      </c>
      <c r="H381" s="116">
        <v>46241</v>
      </c>
      <c r="I381" s="195">
        <f>H381+7+MOD(7-WEEKDAY(H381+7),7)</f>
        <v>46249</v>
      </c>
      <c r="J381" s="195">
        <f t="shared" si="31"/>
        <v>46309</v>
      </c>
      <c r="T381" s="118" t="str">
        <f t="shared" ca="1" si="35"/>
        <v>61DAYS LEFT</v>
      </c>
    </row>
    <row r="382" spans="2:20" ht="15" customHeight="1" x14ac:dyDescent="0.35">
      <c r="B382" s="115" t="s">
        <v>442</v>
      </c>
      <c r="C382" s="117">
        <v>79023664722570</v>
      </c>
      <c r="D382" s="115" t="s">
        <v>373</v>
      </c>
      <c r="H382" s="116">
        <v>46241</v>
      </c>
      <c r="I382" s="195">
        <f>H382+7+MOD(7-WEEKDAY(H382+7),7)</f>
        <v>46249</v>
      </c>
      <c r="J382" s="195">
        <f t="shared" si="31"/>
        <v>46309</v>
      </c>
      <c r="T382" s="118" t="str">
        <f t="shared" ca="1" si="35"/>
        <v>61DAYS LEFT</v>
      </c>
    </row>
    <row r="383" spans="2:20" ht="20.399999999999999" customHeight="1" x14ac:dyDescent="0.35">
      <c r="B383" s="115" t="s">
        <v>452</v>
      </c>
      <c r="C383" s="117" t="s">
        <v>489</v>
      </c>
      <c r="H383" s="116">
        <v>46242</v>
      </c>
      <c r="I383" s="195">
        <f t="shared" ref="I383:I446" si="36">H383+7+MOD(7-WEEKDAY(H383+7),7)</f>
        <v>46249</v>
      </c>
      <c r="J383" s="195">
        <f t="shared" si="31"/>
        <v>46309</v>
      </c>
      <c r="T383" s="118" t="str">
        <f t="shared" ca="1" si="35"/>
        <v>61DAYS LEFT</v>
      </c>
    </row>
    <row r="384" spans="2:20" x14ac:dyDescent="0.35">
      <c r="B384" s="115" t="s">
        <v>452</v>
      </c>
      <c r="C384" s="117" t="s">
        <v>490</v>
      </c>
      <c r="H384" s="116">
        <v>46242</v>
      </c>
      <c r="I384" s="195">
        <f t="shared" si="36"/>
        <v>46249</v>
      </c>
      <c r="J384" s="195">
        <f t="shared" si="31"/>
        <v>46309</v>
      </c>
      <c r="T384" s="118" t="str">
        <f t="shared" ca="1" si="35"/>
        <v>61DAYS LEFT</v>
      </c>
    </row>
    <row r="385" spans="2:20" x14ac:dyDescent="0.35">
      <c r="B385" s="115" t="s">
        <v>491</v>
      </c>
      <c r="C385" s="117" t="s">
        <v>492</v>
      </c>
      <c r="H385" s="116">
        <v>46242</v>
      </c>
      <c r="I385" s="195">
        <f t="shared" si="36"/>
        <v>46249</v>
      </c>
      <c r="J385" s="195">
        <f t="shared" si="31"/>
        <v>46309</v>
      </c>
      <c r="T385" s="118" t="str">
        <f t="shared" ca="1" si="35"/>
        <v>61DAYS LEFT</v>
      </c>
    </row>
    <row r="386" spans="2:20" x14ac:dyDescent="0.35">
      <c r="B386" s="115" t="s">
        <v>493</v>
      </c>
      <c r="C386" s="117">
        <v>1379876122981</v>
      </c>
      <c r="H386" s="116">
        <v>46242</v>
      </c>
      <c r="I386" s="195">
        <f t="shared" si="36"/>
        <v>46249</v>
      </c>
      <c r="J386" s="195">
        <f t="shared" si="31"/>
        <v>46309</v>
      </c>
      <c r="T386" s="118" t="str">
        <f t="shared" ca="1" si="35"/>
        <v>61DAYS LEFT</v>
      </c>
    </row>
    <row r="387" spans="2:20" x14ac:dyDescent="0.35">
      <c r="B387" s="115" t="s">
        <v>186</v>
      </c>
      <c r="C387" s="117" t="s">
        <v>494</v>
      </c>
      <c r="H387" s="116">
        <v>46242</v>
      </c>
      <c r="I387" s="195">
        <f t="shared" si="36"/>
        <v>46249</v>
      </c>
      <c r="J387" s="195">
        <f t="shared" si="31"/>
        <v>46309</v>
      </c>
      <c r="T387" s="118" t="str">
        <f t="shared" ca="1" si="35"/>
        <v>61DAYS LEFT</v>
      </c>
    </row>
    <row r="388" spans="2:20" x14ac:dyDescent="0.35">
      <c r="B388" s="115" t="s">
        <v>186</v>
      </c>
      <c r="C388" s="117" t="s">
        <v>495</v>
      </c>
      <c r="H388" s="116">
        <v>46242</v>
      </c>
      <c r="I388" s="195">
        <f t="shared" si="36"/>
        <v>46249</v>
      </c>
      <c r="J388" s="195">
        <f t="shared" si="31"/>
        <v>46309</v>
      </c>
      <c r="T388" s="118" t="str">
        <f t="shared" ca="1" si="35"/>
        <v>61DAYS LEFT</v>
      </c>
    </row>
    <row r="389" spans="2:20" x14ac:dyDescent="0.35">
      <c r="B389" s="115" t="s">
        <v>186</v>
      </c>
      <c r="C389" s="117" t="s">
        <v>496</v>
      </c>
      <c r="H389" s="116">
        <v>46242</v>
      </c>
      <c r="I389" s="195">
        <f t="shared" si="36"/>
        <v>46249</v>
      </c>
      <c r="J389" s="195">
        <f t="shared" si="31"/>
        <v>46309</v>
      </c>
      <c r="T389" s="118" t="str">
        <f t="shared" ca="1" si="35"/>
        <v>61DAYS LEFT</v>
      </c>
    </row>
    <row r="390" spans="2:20" x14ac:dyDescent="0.35">
      <c r="B390" s="115" t="s">
        <v>186</v>
      </c>
      <c r="C390" s="117" t="s">
        <v>497</v>
      </c>
      <c r="H390" s="116">
        <v>46242</v>
      </c>
      <c r="I390" s="195">
        <f t="shared" si="36"/>
        <v>46249</v>
      </c>
      <c r="J390" s="195">
        <f t="shared" si="31"/>
        <v>46309</v>
      </c>
      <c r="T390" s="118" t="str">
        <f t="shared" ca="1" si="35"/>
        <v>61DAYS LEFT</v>
      </c>
    </row>
    <row r="391" spans="2:20" x14ac:dyDescent="0.35">
      <c r="B391" s="115" t="s">
        <v>186</v>
      </c>
      <c r="C391" s="117" t="s">
        <v>498</v>
      </c>
      <c r="H391" s="116">
        <v>46242</v>
      </c>
      <c r="I391" s="195">
        <f t="shared" si="36"/>
        <v>46249</v>
      </c>
      <c r="J391" s="195">
        <f t="shared" si="31"/>
        <v>46309</v>
      </c>
      <c r="T391" s="118" t="str">
        <f t="shared" ca="1" si="35"/>
        <v>61DAYS LEFT</v>
      </c>
    </row>
    <row r="392" spans="2:20" x14ac:dyDescent="0.35">
      <c r="B392" s="115" t="s">
        <v>186</v>
      </c>
      <c r="C392" s="117" t="s">
        <v>499</v>
      </c>
      <c r="H392" s="116">
        <v>46242</v>
      </c>
      <c r="I392" s="195">
        <f t="shared" si="36"/>
        <v>46249</v>
      </c>
      <c r="J392" s="195">
        <f t="shared" si="31"/>
        <v>46309</v>
      </c>
      <c r="T392" s="118" t="str">
        <f t="shared" ca="1" si="35"/>
        <v>61DAYS LEFT</v>
      </c>
    </row>
    <row r="393" spans="2:20" x14ac:dyDescent="0.35">
      <c r="B393" s="115" t="s">
        <v>124</v>
      </c>
      <c r="C393" s="117">
        <v>79024128818399</v>
      </c>
      <c r="H393" s="116">
        <v>46242</v>
      </c>
      <c r="I393" s="195">
        <f t="shared" si="36"/>
        <v>46249</v>
      </c>
      <c r="J393" s="195">
        <f t="shared" si="31"/>
        <v>46309</v>
      </c>
      <c r="T393" s="118" t="str">
        <f t="shared" ca="1" si="35"/>
        <v>61DAYS LEFT</v>
      </c>
    </row>
    <row r="394" spans="2:20" x14ac:dyDescent="0.35">
      <c r="B394" s="115" t="s">
        <v>452</v>
      </c>
      <c r="D394" s="115" t="s">
        <v>162</v>
      </c>
      <c r="H394" s="116">
        <v>46242</v>
      </c>
      <c r="I394" s="195">
        <f t="shared" si="36"/>
        <v>46249</v>
      </c>
      <c r="J394" s="195">
        <f t="shared" si="31"/>
        <v>46309</v>
      </c>
      <c r="T394" s="118" t="str">
        <f t="shared" ca="1" si="35"/>
        <v>61DAYS LEFT</v>
      </c>
    </row>
    <row r="395" spans="2:20" x14ac:dyDescent="0.35">
      <c r="B395" s="115" t="s">
        <v>452</v>
      </c>
      <c r="C395" s="117">
        <v>79128871451245</v>
      </c>
      <c r="H395" s="116">
        <v>46242</v>
      </c>
      <c r="I395" s="195">
        <f t="shared" si="36"/>
        <v>46249</v>
      </c>
      <c r="J395" s="195">
        <f t="shared" si="31"/>
        <v>46309</v>
      </c>
      <c r="T395" s="118" t="str">
        <f t="shared" ca="1" si="35"/>
        <v>61DAYS LEFT</v>
      </c>
    </row>
    <row r="396" spans="2:20" x14ac:dyDescent="0.35">
      <c r="B396" s="115" t="s">
        <v>452</v>
      </c>
      <c r="C396" s="117">
        <v>79128872975506</v>
      </c>
      <c r="H396" s="116">
        <v>46242</v>
      </c>
      <c r="I396" s="195">
        <f t="shared" si="36"/>
        <v>46249</v>
      </c>
      <c r="J396" s="195">
        <f t="shared" si="31"/>
        <v>46309</v>
      </c>
      <c r="T396" s="118" t="str">
        <f t="shared" ca="1" si="35"/>
        <v>61DAYS LEFT</v>
      </c>
    </row>
    <row r="397" spans="2:20" x14ac:dyDescent="0.35">
      <c r="B397" s="115" t="s">
        <v>455</v>
      </c>
      <c r="C397" s="117">
        <v>777433701850388</v>
      </c>
      <c r="H397" s="116">
        <v>46242</v>
      </c>
      <c r="I397" s="195">
        <f t="shared" si="36"/>
        <v>46249</v>
      </c>
      <c r="J397" s="195">
        <f t="shared" si="31"/>
        <v>46309</v>
      </c>
      <c r="T397" s="118" t="str">
        <f t="shared" ca="1" si="35"/>
        <v>61DAYS LEFT</v>
      </c>
    </row>
    <row r="398" spans="2:20" x14ac:dyDescent="0.35">
      <c r="B398" s="115" t="s">
        <v>452</v>
      </c>
      <c r="C398" s="117">
        <v>981849814066</v>
      </c>
      <c r="H398" s="116">
        <v>46242</v>
      </c>
      <c r="I398" s="195">
        <f t="shared" si="36"/>
        <v>46249</v>
      </c>
      <c r="J398" s="195">
        <f t="shared" si="31"/>
        <v>46309</v>
      </c>
      <c r="T398" s="118" t="str">
        <f t="shared" ca="1" si="35"/>
        <v>61DAYS LEFT</v>
      </c>
    </row>
    <row r="399" spans="2:20" x14ac:dyDescent="0.35">
      <c r="B399" s="115" t="s">
        <v>452</v>
      </c>
      <c r="C399" s="117">
        <v>79128871451245</v>
      </c>
      <c r="H399" s="116">
        <v>46242</v>
      </c>
      <c r="I399" s="195">
        <f t="shared" si="36"/>
        <v>46249</v>
      </c>
      <c r="J399" s="195">
        <f t="shared" si="31"/>
        <v>46309</v>
      </c>
      <c r="T399" s="118" t="str">
        <f t="shared" ca="1" si="35"/>
        <v>61DAYS LEFT</v>
      </c>
    </row>
    <row r="400" spans="2:20" x14ac:dyDescent="0.35">
      <c r="B400" s="115" t="s">
        <v>500</v>
      </c>
      <c r="C400" s="117" t="s">
        <v>501</v>
      </c>
      <c r="H400" s="116">
        <v>46242</v>
      </c>
      <c r="I400" s="195">
        <f t="shared" si="36"/>
        <v>46249</v>
      </c>
      <c r="J400" s="195">
        <f t="shared" si="31"/>
        <v>46309</v>
      </c>
      <c r="T400" s="118" t="str">
        <f t="shared" ca="1" si="35"/>
        <v>61DAYS LEFT</v>
      </c>
    </row>
    <row r="401" spans="2:20" x14ac:dyDescent="0.35">
      <c r="B401" s="115" t="s">
        <v>502</v>
      </c>
      <c r="C401" s="117">
        <v>79024098509638</v>
      </c>
      <c r="H401" s="116">
        <v>46242</v>
      </c>
      <c r="I401" s="195">
        <f t="shared" si="36"/>
        <v>46249</v>
      </c>
      <c r="J401" s="195">
        <f t="shared" si="31"/>
        <v>46309</v>
      </c>
      <c r="T401" s="118" t="str">
        <f t="shared" ca="1" si="35"/>
        <v>61DAYS LEFT</v>
      </c>
    </row>
    <row r="402" spans="2:20" x14ac:dyDescent="0.35">
      <c r="B402" s="115" t="s">
        <v>500</v>
      </c>
      <c r="C402" s="117">
        <v>79023987254376</v>
      </c>
      <c r="H402" s="116">
        <v>46242</v>
      </c>
      <c r="I402" s="195">
        <f t="shared" si="36"/>
        <v>46249</v>
      </c>
      <c r="J402" s="195">
        <f t="shared" si="31"/>
        <v>46309</v>
      </c>
      <c r="T402" s="118" t="str">
        <f t="shared" ca="1" si="35"/>
        <v>61DAYS LEFT</v>
      </c>
    </row>
    <row r="403" spans="2:20" x14ac:dyDescent="0.35">
      <c r="B403" s="115" t="s">
        <v>502</v>
      </c>
      <c r="C403" s="117">
        <v>79024074925472</v>
      </c>
      <c r="H403" s="116">
        <v>46242</v>
      </c>
      <c r="I403" s="195">
        <f t="shared" si="36"/>
        <v>46249</v>
      </c>
      <c r="J403" s="195">
        <f t="shared" si="31"/>
        <v>46309</v>
      </c>
      <c r="T403" s="118" t="str">
        <f t="shared" ca="1" si="35"/>
        <v>61DAYS LEFT</v>
      </c>
    </row>
    <row r="404" spans="2:20" x14ac:dyDescent="0.35">
      <c r="B404" s="115" t="s">
        <v>500</v>
      </c>
      <c r="C404" s="117">
        <v>465563665344550</v>
      </c>
      <c r="H404" s="116">
        <v>46242</v>
      </c>
      <c r="I404" s="195">
        <f t="shared" si="36"/>
        <v>46249</v>
      </c>
      <c r="J404" s="195">
        <f t="shared" si="31"/>
        <v>46309</v>
      </c>
      <c r="T404" s="118" t="str">
        <f t="shared" ca="1" si="35"/>
        <v>61DAYS LEFT</v>
      </c>
    </row>
    <row r="405" spans="2:20" x14ac:dyDescent="0.35">
      <c r="B405" s="115" t="s">
        <v>452</v>
      </c>
      <c r="C405" s="117">
        <v>773435387462446</v>
      </c>
      <c r="H405" s="116">
        <v>46244</v>
      </c>
      <c r="I405" s="195">
        <f t="shared" si="36"/>
        <v>46256</v>
      </c>
      <c r="J405" s="195">
        <f t="shared" si="31"/>
        <v>46316</v>
      </c>
      <c r="T405" s="118" t="str">
        <f t="shared" ca="1" si="35"/>
        <v>68DAYS LEFT</v>
      </c>
    </row>
    <row r="406" spans="2:20" x14ac:dyDescent="0.35">
      <c r="B406" s="115" t="s">
        <v>452</v>
      </c>
      <c r="C406" s="117">
        <v>773435339006737</v>
      </c>
      <c r="H406" s="116">
        <v>46244</v>
      </c>
      <c r="I406" s="195">
        <f t="shared" si="36"/>
        <v>46256</v>
      </c>
      <c r="J406" s="195">
        <f t="shared" si="31"/>
        <v>46316</v>
      </c>
      <c r="T406" s="118" t="str">
        <f t="shared" ca="1" si="35"/>
        <v>68DAYS LEFT</v>
      </c>
    </row>
    <row r="407" spans="2:20" x14ac:dyDescent="0.35">
      <c r="B407" s="115" t="s">
        <v>452</v>
      </c>
      <c r="C407" s="117">
        <v>773435385801234</v>
      </c>
      <c r="H407" s="116">
        <v>46244</v>
      </c>
      <c r="I407" s="195">
        <f t="shared" si="36"/>
        <v>46256</v>
      </c>
      <c r="J407" s="195">
        <f t="shared" si="31"/>
        <v>46316</v>
      </c>
      <c r="T407" s="118" t="str">
        <f t="shared" ca="1" si="35"/>
        <v>68DAYS LEFT</v>
      </c>
    </row>
    <row r="408" spans="2:20" x14ac:dyDescent="0.35">
      <c r="B408" s="115" t="s">
        <v>452</v>
      </c>
      <c r="C408" s="117">
        <v>773435382089672</v>
      </c>
      <c r="H408" s="116">
        <v>46244</v>
      </c>
      <c r="I408" s="195">
        <f t="shared" si="36"/>
        <v>46256</v>
      </c>
      <c r="J408" s="195">
        <f t="shared" si="31"/>
        <v>46316</v>
      </c>
      <c r="T408" s="118" t="str">
        <f t="shared" ca="1" si="35"/>
        <v>68DAYS LEFT</v>
      </c>
    </row>
    <row r="409" spans="2:20" x14ac:dyDescent="0.35">
      <c r="B409" s="115" t="s">
        <v>455</v>
      </c>
      <c r="C409" s="117">
        <v>777433709160075</v>
      </c>
      <c r="H409" s="116">
        <v>46244</v>
      </c>
      <c r="I409" s="195">
        <f t="shared" si="36"/>
        <v>46256</v>
      </c>
      <c r="J409" s="195">
        <f t="shared" si="31"/>
        <v>46316</v>
      </c>
      <c r="T409" s="118" t="str">
        <f t="shared" ca="1" si="35"/>
        <v>68DAYS LEFT</v>
      </c>
    </row>
    <row r="410" spans="2:20" x14ac:dyDescent="0.35">
      <c r="B410" s="115" t="s">
        <v>502</v>
      </c>
      <c r="C410" s="117" t="s">
        <v>503</v>
      </c>
      <c r="H410" s="116">
        <v>46245</v>
      </c>
      <c r="I410" s="195">
        <f t="shared" si="36"/>
        <v>46256</v>
      </c>
      <c r="J410" s="195">
        <f t="shared" si="31"/>
        <v>46316</v>
      </c>
      <c r="T410" s="118" t="str">
        <f t="shared" ca="1" si="35"/>
        <v>68DAYS LEFT</v>
      </c>
    </row>
    <row r="411" spans="2:20" x14ac:dyDescent="0.35">
      <c r="B411" s="115" t="s">
        <v>504</v>
      </c>
      <c r="C411" s="117" t="s">
        <v>505</v>
      </c>
      <c r="H411" s="116">
        <v>46245</v>
      </c>
      <c r="I411" s="195">
        <f t="shared" si="36"/>
        <v>46256</v>
      </c>
      <c r="J411" s="195">
        <f t="shared" si="31"/>
        <v>46316</v>
      </c>
      <c r="T411" s="118" t="str">
        <f t="shared" ca="1" si="35"/>
        <v>68DAYS LEFT</v>
      </c>
    </row>
    <row r="412" spans="2:20" x14ac:dyDescent="0.35">
      <c r="B412" s="115" t="s">
        <v>502</v>
      </c>
      <c r="C412" s="117">
        <v>43530493244437</v>
      </c>
      <c r="H412" s="116">
        <v>46245</v>
      </c>
      <c r="I412" s="195">
        <f t="shared" si="36"/>
        <v>46256</v>
      </c>
      <c r="J412" s="195">
        <f t="shared" si="31"/>
        <v>46316</v>
      </c>
      <c r="T412" s="118" t="str">
        <f t="shared" ca="1" si="35"/>
        <v>68DAYS LEFT</v>
      </c>
    </row>
    <row r="413" spans="2:20" x14ac:dyDescent="0.35">
      <c r="B413" s="115" t="s">
        <v>506</v>
      </c>
      <c r="D413" s="115" t="s">
        <v>507</v>
      </c>
      <c r="H413" s="116">
        <v>46245</v>
      </c>
      <c r="I413" s="195">
        <f t="shared" si="36"/>
        <v>46256</v>
      </c>
      <c r="J413" s="195">
        <f t="shared" si="31"/>
        <v>46316</v>
      </c>
      <c r="T413" s="118" t="str">
        <f t="shared" ca="1" si="35"/>
        <v>68DAYS LEFT</v>
      </c>
    </row>
    <row r="414" spans="2:20" x14ac:dyDescent="0.35">
      <c r="B414" s="115" t="s">
        <v>124</v>
      </c>
      <c r="C414" s="117">
        <v>79024927478652</v>
      </c>
      <c r="D414" s="115" t="s">
        <v>62</v>
      </c>
      <c r="H414" s="116">
        <v>46246</v>
      </c>
      <c r="I414" s="195">
        <f t="shared" si="36"/>
        <v>46256</v>
      </c>
      <c r="J414" s="195">
        <f t="shared" si="31"/>
        <v>46316</v>
      </c>
      <c r="T414" s="118" t="str">
        <f t="shared" ca="1" si="35"/>
        <v>68DAYS LEFT</v>
      </c>
    </row>
    <row r="415" spans="2:20" x14ac:dyDescent="0.35">
      <c r="B415" s="115" t="s">
        <v>457</v>
      </c>
      <c r="C415" s="117" t="s">
        <v>508</v>
      </c>
      <c r="D415" s="115" t="s">
        <v>509</v>
      </c>
      <c r="H415" s="116">
        <v>46246</v>
      </c>
      <c r="I415" s="195">
        <f t="shared" si="36"/>
        <v>46256</v>
      </c>
      <c r="J415" s="195">
        <f t="shared" si="31"/>
        <v>46316</v>
      </c>
      <c r="T415" s="118" t="str">
        <f t="shared" ca="1" si="35"/>
        <v>68DAYS LEFT</v>
      </c>
    </row>
    <row r="416" spans="2:20" x14ac:dyDescent="0.35">
      <c r="B416" s="115" t="s">
        <v>124</v>
      </c>
      <c r="D416" s="115" t="s">
        <v>510</v>
      </c>
      <c r="H416" s="116">
        <v>46246</v>
      </c>
      <c r="I416" s="195">
        <f t="shared" si="36"/>
        <v>46256</v>
      </c>
      <c r="J416" s="195">
        <f t="shared" si="31"/>
        <v>46316</v>
      </c>
      <c r="T416" s="118" t="str">
        <f t="shared" ca="1" si="35"/>
        <v>68DAYS LEFT</v>
      </c>
    </row>
    <row r="417" spans="2:20" x14ac:dyDescent="0.35">
      <c r="B417" s="115" t="s">
        <v>504</v>
      </c>
      <c r="C417" s="117" t="s">
        <v>511</v>
      </c>
      <c r="D417" s="115" t="s">
        <v>512</v>
      </c>
      <c r="H417" s="116">
        <v>46246</v>
      </c>
      <c r="I417" s="195">
        <f t="shared" si="36"/>
        <v>46256</v>
      </c>
      <c r="J417" s="195">
        <f t="shared" si="31"/>
        <v>46316</v>
      </c>
      <c r="T417" s="118" t="str">
        <f t="shared" ca="1" si="35"/>
        <v>68DAYS LEFT</v>
      </c>
    </row>
    <row r="418" spans="2:20" x14ac:dyDescent="0.35">
      <c r="B418" s="115" t="s">
        <v>504</v>
      </c>
      <c r="C418" s="117">
        <v>435306059960638</v>
      </c>
      <c r="H418" s="116">
        <v>46246</v>
      </c>
      <c r="I418" s="195">
        <f t="shared" si="36"/>
        <v>46256</v>
      </c>
      <c r="J418" s="195">
        <f t="shared" si="31"/>
        <v>46316</v>
      </c>
      <c r="T418" s="118" t="str">
        <f t="shared" ca="1" si="35"/>
        <v>68DAYS LEFT</v>
      </c>
    </row>
    <row r="419" spans="2:20" x14ac:dyDescent="0.35">
      <c r="B419" s="115" t="s">
        <v>504</v>
      </c>
      <c r="C419" s="117">
        <v>773435846048916</v>
      </c>
      <c r="H419" s="116">
        <v>46246</v>
      </c>
      <c r="I419" s="195">
        <f t="shared" si="36"/>
        <v>46256</v>
      </c>
      <c r="J419" s="195">
        <f t="shared" si="31"/>
        <v>46316</v>
      </c>
      <c r="T419" s="118" t="str">
        <f t="shared" ca="1" si="35"/>
        <v>68DAYS LEFT</v>
      </c>
    </row>
    <row r="420" spans="2:20" x14ac:dyDescent="0.35">
      <c r="B420" s="115" t="s">
        <v>513</v>
      </c>
      <c r="C420" s="117">
        <v>773436029438985</v>
      </c>
      <c r="H420" s="116">
        <v>46246</v>
      </c>
      <c r="I420" s="195">
        <f t="shared" si="36"/>
        <v>46256</v>
      </c>
      <c r="J420" s="195">
        <f t="shared" si="31"/>
        <v>46316</v>
      </c>
      <c r="T420" s="118" t="str">
        <f t="shared" ca="1" si="35"/>
        <v>68DAYS LEFT</v>
      </c>
    </row>
    <row r="421" spans="2:20" x14ac:dyDescent="0.35">
      <c r="B421" s="115" t="s">
        <v>502</v>
      </c>
      <c r="C421" s="117">
        <v>773435855113478</v>
      </c>
      <c r="H421" s="116">
        <v>46246</v>
      </c>
      <c r="I421" s="195">
        <f t="shared" si="36"/>
        <v>46256</v>
      </c>
      <c r="J421" s="195">
        <f t="shared" si="31"/>
        <v>46316</v>
      </c>
      <c r="T421" s="118" t="str">
        <f t="shared" ca="1" si="35"/>
        <v>68DAYS LEFT</v>
      </c>
    </row>
    <row r="422" spans="2:20" x14ac:dyDescent="0.35">
      <c r="B422" s="115" t="s">
        <v>435</v>
      </c>
      <c r="C422" s="117" t="s">
        <v>514</v>
      </c>
      <c r="H422" s="116">
        <v>46246</v>
      </c>
      <c r="I422" s="195">
        <f t="shared" si="36"/>
        <v>46256</v>
      </c>
      <c r="J422" s="195">
        <f t="shared" si="31"/>
        <v>46316</v>
      </c>
      <c r="T422" s="118" t="str">
        <f t="shared" ca="1" si="35"/>
        <v>68DAYS LEFT</v>
      </c>
    </row>
    <row r="423" spans="2:20" x14ac:dyDescent="0.35">
      <c r="B423" s="115" t="s">
        <v>504</v>
      </c>
      <c r="C423" s="117" t="s">
        <v>515</v>
      </c>
      <c r="H423" s="116">
        <v>46246</v>
      </c>
      <c r="I423" s="195">
        <f t="shared" si="36"/>
        <v>46256</v>
      </c>
      <c r="J423" s="195">
        <f t="shared" si="31"/>
        <v>46316</v>
      </c>
      <c r="T423" s="118" t="str">
        <f t="shared" ca="1" si="35"/>
        <v>68DAYS LEFT</v>
      </c>
    </row>
    <row r="424" spans="2:20" x14ac:dyDescent="0.35">
      <c r="B424" s="115" t="s">
        <v>455</v>
      </c>
      <c r="C424" s="117">
        <v>777432995721954</v>
      </c>
      <c r="H424" s="116">
        <v>46246</v>
      </c>
      <c r="I424" s="195">
        <f t="shared" si="36"/>
        <v>46256</v>
      </c>
      <c r="J424" s="195">
        <f t="shared" si="31"/>
        <v>46316</v>
      </c>
      <c r="T424" s="118" t="str">
        <f t="shared" ca="1" si="35"/>
        <v>68DAYS LEFT</v>
      </c>
    </row>
    <row r="425" spans="2:20" x14ac:dyDescent="0.35">
      <c r="B425" s="115" t="s">
        <v>516</v>
      </c>
      <c r="C425" s="117">
        <v>777433540307485</v>
      </c>
      <c r="H425" s="116">
        <v>46246</v>
      </c>
      <c r="I425" s="195">
        <f t="shared" si="36"/>
        <v>46256</v>
      </c>
      <c r="J425" s="195">
        <f t="shared" si="31"/>
        <v>46316</v>
      </c>
      <c r="T425" s="118" t="str">
        <f t="shared" ca="1" si="35"/>
        <v>68DAYS LEFT</v>
      </c>
    </row>
    <row r="426" spans="2:20" x14ac:dyDescent="0.35">
      <c r="B426" s="115" t="s">
        <v>504</v>
      </c>
      <c r="C426" s="117" t="s">
        <v>517</v>
      </c>
      <c r="H426" s="116">
        <v>46246</v>
      </c>
      <c r="I426" s="195">
        <f t="shared" si="36"/>
        <v>46256</v>
      </c>
      <c r="J426" s="195">
        <f t="shared" si="31"/>
        <v>46316</v>
      </c>
      <c r="T426" s="118" t="str">
        <f t="shared" ca="1" si="35"/>
        <v>68DAYS LEFT</v>
      </c>
    </row>
    <row r="427" spans="2:20" x14ac:dyDescent="0.35">
      <c r="B427" s="115" t="s">
        <v>124</v>
      </c>
      <c r="C427" s="117">
        <v>700915664457001</v>
      </c>
      <c r="D427" s="115" t="s">
        <v>518</v>
      </c>
      <c r="H427" s="116">
        <v>46246</v>
      </c>
      <c r="I427" s="195">
        <f t="shared" si="36"/>
        <v>46256</v>
      </c>
      <c r="J427" s="195">
        <f t="shared" si="31"/>
        <v>46316</v>
      </c>
      <c r="T427" s="118" t="str">
        <f t="shared" ca="1" si="35"/>
        <v>68DAYS LEFT</v>
      </c>
    </row>
    <row r="428" spans="2:20" x14ac:dyDescent="0.35">
      <c r="B428" s="115" t="s">
        <v>457</v>
      </c>
      <c r="C428" s="117">
        <v>79024994536197</v>
      </c>
      <c r="D428" s="115" t="s">
        <v>373</v>
      </c>
      <c r="H428" s="116">
        <v>46246</v>
      </c>
      <c r="I428" s="195">
        <f t="shared" si="36"/>
        <v>46256</v>
      </c>
      <c r="J428" s="195">
        <f t="shared" si="31"/>
        <v>46316</v>
      </c>
      <c r="T428" s="118" t="str">
        <f t="shared" ca="1" si="35"/>
        <v>68DAYS LEFT</v>
      </c>
    </row>
    <row r="429" spans="2:20" x14ac:dyDescent="0.35">
      <c r="B429" s="115" t="s">
        <v>124</v>
      </c>
      <c r="D429" s="115" t="s">
        <v>519</v>
      </c>
      <c r="H429" s="116">
        <v>46246</v>
      </c>
      <c r="I429" s="195">
        <f t="shared" si="36"/>
        <v>46256</v>
      </c>
      <c r="J429" s="195">
        <f t="shared" si="31"/>
        <v>46316</v>
      </c>
      <c r="T429" s="118" t="str">
        <f t="shared" ca="1" si="35"/>
        <v>68DAYS LEFT</v>
      </c>
    </row>
    <row r="430" spans="2:20" x14ac:dyDescent="0.35">
      <c r="B430" s="115" t="s">
        <v>455</v>
      </c>
      <c r="C430" s="117">
        <v>777433709160075</v>
      </c>
      <c r="E430" s="115" t="s">
        <v>128</v>
      </c>
      <c r="H430" s="116">
        <v>46246</v>
      </c>
      <c r="I430" s="195">
        <f t="shared" si="36"/>
        <v>46256</v>
      </c>
      <c r="J430" s="195">
        <f t="shared" si="31"/>
        <v>46316</v>
      </c>
      <c r="T430" s="118" t="str">
        <f t="shared" ca="1" si="35"/>
        <v>68DAYS LEFT</v>
      </c>
    </row>
    <row r="431" spans="2:20" x14ac:dyDescent="0.35">
      <c r="B431" s="115" t="s">
        <v>520</v>
      </c>
      <c r="C431" s="117" t="s">
        <v>492</v>
      </c>
      <c r="E431" s="115" t="s">
        <v>128</v>
      </c>
      <c r="H431" s="116">
        <v>46247</v>
      </c>
      <c r="I431" s="195">
        <f t="shared" si="36"/>
        <v>46256</v>
      </c>
      <c r="J431" s="195">
        <f t="shared" si="31"/>
        <v>46316</v>
      </c>
      <c r="T431" s="118" t="str">
        <f t="shared" ca="1" si="35"/>
        <v>68DAYS LEFT</v>
      </c>
    </row>
    <row r="432" spans="2:20" x14ac:dyDescent="0.35">
      <c r="B432" s="115" t="s">
        <v>520</v>
      </c>
      <c r="E432" s="115" t="s">
        <v>128</v>
      </c>
      <c r="H432" s="116">
        <v>46247</v>
      </c>
      <c r="I432" s="195">
        <f t="shared" si="36"/>
        <v>46256</v>
      </c>
      <c r="J432" s="195">
        <f t="shared" si="31"/>
        <v>46316</v>
      </c>
      <c r="T432" s="118" t="str">
        <f t="shared" ca="1" si="35"/>
        <v>68DAYS LEFT</v>
      </c>
    </row>
    <row r="433" spans="2:20" x14ac:dyDescent="0.35">
      <c r="B433" s="115" t="s">
        <v>124</v>
      </c>
      <c r="C433" s="117" t="s">
        <v>521</v>
      </c>
      <c r="D433" s="115" t="s">
        <v>522</v>
      </c>
      <c r="E433" s="115" t="s">
        <v>75</v>
      </c>
      <c r="H433" s="116">
        <v>46247</v>
      </c>
      <c r="I433" s="195">
        <f t="shared" si="36"/>
        <v>46256</v>
      </c>
      <c r="J433" s="195">
        <f t="shared" si="31"/>
        <v>46316</v>
      </c>
      <c r="T433" s="118" t="str">
        <f t="shared" ca="1" si="35"/>
        <v>68DAYS LEFT</v>
      </c>
    </row>
    <row r="434" spans="2:20" x14ac:dyDescent="0.35">
      <c r="B434" s="115" t="s">
        <v>124</v>
      </c>
      <c r="C434" s="117" t="s">
        <v>523</v>
      </c>
      <c r="E434" s="115" t="s">
        <v>75</v>
      </c>
      <c r="H434" s="116">
        <v>46247</v>
      </c>
      <c r="I434" s="195">
        <f t="shared" si="36"/>
        <v>46256</v>
      </c>
      <c r="J434" s="195">
        <f t="shared" si="31"/>
        <v>46316</v>
      </c>
      <c r="T434" s="118" t="str">
        <f t="shared" ca="1" si="35"/>
        <v>68DAYS LEFT</v>
      </c>
    </row>
    <row r="435" spans="2:20" x14ac:dyDescent="0.35">
      <c r="B435" s="115" t="s">
        <v>524</v>
      </c>
      <c r="C435" s="117" t="s">
        <v>525</v>
      </c>
      <c r="D435" s="115" t="s">
        <v>373</v>
      </c>
      <c r="E435" s="115" t="s">
        <v>75</v>
      </c>
      <c r="H435" s="116">
        <v>46247</v>
      </c>
      <c r="I435" s="195">
        <f t="shared" si="36"/>
        <v>46256</v>
      </c>
      <c r="J435" s="195">
        <f t="shared" si="31"/>
        <v>46316</v>
      </c>
      <c r="T435" s="118" t="str">
        <f t="shared" ca="1" si="35"/>
        <v>68DAYS LEFT</v>
      </c>
    </row>
    <row r="436" spans="2:20" x14ac:dyDescent="0.35">
      <c r="B436" s="115" t="s">
        <v>241</v>
      </c>
      <c r="C436" s="117">
        <v>435308347836514</v>
      </c>
      <c r="D436" s="115" t="s">
        <v>373</v>
      </c>
      <c r="E436" s="115" t="s">
        <v>75</v>
      </c>
      <c r="H436" s="116">
        <v>46248</v>
      </c>
      <c r="I436" s="195">
        <f t="shared" si="36"/>
        <v>46256</v>
      </c>
      <c r="J436" s="195">
        <f t="shared" si="31"/>
        <v>46316</v>
      </c>
      <c r="T436" s="118" t="str">
        <f t="shared" ca="1" si="35"/>
        <v>68DAYS LEFT</v>
      </c>
    </row>
    <row r="437" spans="2:20" x14ac:dyDescent="0.35">
      <c r="B437" s="115" t="s">
        <v>526</v>
      </c>
      <c r="C437" s="117">
        <v>435309006352633</v>
      </c>
      <c r="D437" s="115" t="s">
        <v>527</v>
      </c>
      <c r="E437" s="115" t="s">
        <v>75</v>
      </c>
      <c r="H437" s="116">
        <v>46248</v>
      </c>
      <c r="I437" s="195">
        <f t="shared" si="36"/>
        <v>46256</v>
      </c>
      <c r="J437" s="195">
        <f t="shared" si="31"/>
        <v>46316</v>
      </c>
      <c r="T437" s="118" t="str">
        <f t="shared" ca="1" si="35"/>
        <v>68DAYS LEFT</v>
      </c>
    </row>
    <row r="438" spans="2:20" x14ac:dyDescent="0.35">
      <c r="B438" s="115" t="s">
        <v>524</v>
      </c>
      <c r="C438" s="117" t="s">
        <v>528</v>
      </c>
      <c r="D438" s="115" t="s">
        <v>529</v>
      </c>
      <c r="E438" s="115" t="s">
        <v>75</v>
      </c>
      <c r="H438" s="116">
        <v>46248</v>
      </c>
      <c r="I438" s="195">
        <f t="shared" si="36"/>
        <v>46256</v>
      </c>
      <c r="J438" s="195">
        <f t="shared" ref="J438:J443" si="37">I438+60</f>
        <v>46316</v>
      </c>
      <c r="T438" s="118" t="str">
        <f t="shared" ca="1" si="35"/>
        <v>68DAYS LEFT</v>
      </c>
    </row>
    <row r="439" spans="2:20" x14ac:dyDescent="0.35">
      <c r="B439" s="115" t="s">
        <v>524</v>
      </c>
      <c r="C439" s="117" t="s">
        <v>530</v>
      </c>
      <c r="E439" s="115" t="s">
        <v>75</v>
      </c>
      <c r="H439" s="116">
        <v>46248</v>
      </c>
      <c r="I439" s="195">
        <f t="shared" si="36"/>
        <v>46256</v>
      </c>
      <c r="J439" s="195">
        <f t="shared" si="37"/>
        <v>46316</v>
      </c>
      <c r="T439" s="118" t="str">
        <f t="shared" ref="T439:T444" ca="1" si="38">IF(J439&lt;TODAY(),"ARRIVED",IF(J439-TODAY()&lt;=7,"ARRIVING SOON",J439-TODAY()&amp;"DAYS LEFT"))</f>
        <v>68DAYS LEFT</v>
      </c>
    </row>
    <row r="440" spans="2:20" x14ac:dyDescent="0.35">
      <c r="B440" s="115" t="s">
        <v>531</v>
      </c>
      <c r="C440" s="117" t="s">
        <v>532</v>
      </c>
      <c r="D440" s="115" t="s">
        <v>373</v>
      </c>
      <c r="E440" s="115" t="s">
        <v>75</v>
      </c>
      <c r="H440" s="116">
        <v>46248</v>
      </c>
      <c r="I440" s="195">
        <f t="shared" si="36"/>
        <v>46256</v>
      </c>
      <c r="J440" s="195">
        <f t="shared" si="37"/>
        <v>46316</v>
      </c>
      <c r="T440" s="118" t="str">
        <f t="shared" ca="1" si="38"/>
        <v>68DAYS LEFT</v>
      </c>
    </row>
    <row r="441" spans="2:20" x14ac:dyDescent="0.35">
      <c r="B441" s="115" t="s">
        <v>524</v>
      </c>
      <c r="C441" s="117">
        <v>777435423602337</v>
      </c>
      <c r="D441" s="115" t="s">
        <v>533</v>
      </c>
      <c r="E441" s="115" t="s">
        <v>75</v>
      </c>
      <c r="H441" s="116">
        <v>46248</v>
      </c>
      <c r="I441" s="195">
        <f t="shared" si="36"/>
        <v>46256</v>
      </c>
      <c r="J441" s="195">
        <f t="shared" si="37"/>
        <v>46316</v>
      </c>
      <c r="T441" s="118" t="str">
        <f t="shared" ca="1" si="38"/>
        <v>68DAYS LEFT</v>
      </c>
    </row>
    <row r="442" spans="2:20" x14ac:dyDescent="0.35">
      <c r="B442" s="115" t="s">
        <v>524</v>
      </c>
      <c r="C442" s="117">
        <v>777435423602246</v>
      </c>
      <c r="E442" s="115" t="s">
        <v>75</v>
      </c>
      <c r="H442" s="116">
        <v>46248</v>
      </c>
      <c r="I442" s="195">
        <f t="shared" si="36"/>
        <v>46256</v>
      </c>
      <c r="J442" s="195">
        <f t="shared" si="37"/>
        <v>46316</v>
      </c>
      <c r="T442" s="118" t="str">
        <f t="shared" ca="1" si="38"/>
        <v>68DAYS LEFT</v>
      </c>
    </row>
    <row r="443" spans="2:20" x14ac:dyDescent="0.35">
      <c r="B443" s="115" t="s">
        <v>524</v>
      </c>
      <c r="C443" s="117">
        <v>777435423622875</v>
      </c>
      <c r="E443" s="115" t="s">
        <v>75</v>
      </c>
      <c r="H443" s="116">
        <v>46248</v>
      </c>
      <c r="I443" s="195">
        <f t="shared" si="36"/>
        <v>46256</v>
      </c>
      <c r="J443" s="195">
        <f t="shared" si="37"/>
        <v>46316</v>
      </c>
      <c r="T443" s="118" t="str">
        <f t="shared" ca="1" si="38"/>
        <v>68DAYS LEFT</v>
      </c>
    </row>
    <row r="444" spans="2:20" x14ac:dyDescent="0.35">
      <c r="I444" s="195"/>
      <c r="T444" s="118" t="str">
        <f t="shared" ca="1" si="38"/>
        <v>ARRIVED</v>
      </c>
    </row>
    <row r="445" spans="2:20" x14ac:dyDescent="0.35">
      <c r="I445" s="195"/>
    </row>
    <row r="446" spans="2:20" x14ac:dyDescent="0.35">
      <c r="I446" s="195"/>
    </row>
    <row r="447" spans="2:20" x14ac:dyDescent="0.35">
      <c r="I447" s="195"/>
    </row>
    <row r="448" spans="2:20" x14ac:dyDescent="0.35">
      <c r="I448" s="195"/>
    </row>
    <row r="449" spans="9:9" x14ac:dyDescent="0.35">
      <c r="I449" s="195"/>
    </row>
    <row r="450" spans="9:9" x14ac:dyDescent="0.35">
      <c r="I450" s="195"/>
    </row>
    <row r="451" spans="9:9" x14ac:dyDescent="0.35">
      <c r="I451" s="195"/>
    </row>
    <row r="452" spans="9:9" x14ac:dyDescent="0.35">
      <c r="I452" s="195"/>
    </row>
    <row r="453" spans="9:9" x14ac:dyDescent="0.35">
      <c r="I453" s="195"/>
    </row>
    <row r="454" spans="9:9" x14ac:dyDescent="0.35">
      <c r="I454" s="195"/>
    </row>
    <row r="455" spans="9:9" x14ac:dyDescent="0.35">
      <c r="I455" s="195"/>
    </row>
    <row r="456" spans="9:9" x14ac:dyDescent="0.35">
      <c r="I456" s="195"/>
    </row>
    <row r="457" spans="9:9" x14ac:dyDescent="0.35">
      <c r="I457" s="195"/>
    </row>
    <row r="458" spans="9:9" x14ac:dyDescent="0.35">
      <c r="I458" s="195"/>
    </row>
    <row r="459" spans="9:9" x14ac:dyDescent="0.35">
      <c r="I459" s="195"/>
    </row>
    <row r="460" spans="9:9" x14ac:dyDescent="0.35">
      <c r="I460" s="195"/>
    </row>
    <row r="461" spans="9:9" x14ac:dyDescent="0.35">
      <c r="I461" s="195"/>
    </row>
    <row r="462" spans="9:9" x14ac:dyDescent="0.35">
      <c r="I462" s="195"/>
    </row>
    <row r="463" spans="9:9" x14ac:dyDescent="0.35">
      <c r="I463" s="195"/>
    </row>
    <row r="464" spans="9:9" x14ac:dyDescent="0.35">
      <c r="I464" s="195"/>
    </row>
    <row r="465" spans="9:9" x14ac:dyDescent="0.35">
      <c r="I465" s="195"/>
    </row>
    <row r="466" spans="9:9" x14ac:dyDescent="0.35">
      <c r="I466" s="195"/>
    </row>
    <row r="467" spans="9:9" x14ac:dyDescent="0.35">
      <c r="I467" s="195"/>
    </row>
    <row r="468" spans="9:9" x14ac:dyDescent="0.35">
      <c r="I468" s="195"/>
    </row>
    <row r="469" spans="9:9" x14ac:dyDescent="0.35">
      <c r="I469" s="195"/>
    </row>
    <row r="470" spans="9:9" x14ac:dyDescent="0.35">
      <c r="I470" s="195"/>
    </row>
    <row r="471" spans="9:9" x14ac:dyDescent="0.35">
      <c r="I471" s="195"/>
    </row>
    <row r="472" spans="9:9" x14ac:dyDescent="0.35">
      <c r="I472" s="195"/>
    </row>
    <row r="473" spans="9:9" x14ac:dyDescent="0.35">
      <c r="I473" s="195"/>
    </row>
    <row r="474" spans="9:9" x14ac:dyDescent="0.35">
      <c r="I474" s="195"/>
    </row>
  </sheetData>
  <phoneticPr fontId="19" type="noConversion"/>
  <conditionalFormatting sqref="H2:J2 H3 J3:J8 I3:I474">
    <cfRule type="cellIs" dxfId="3" priority="4" operator="greaterThan">
      <formula>"Wednesday, August 5, 2026"</formula>
    </cfRule>
  </conditionalFormatting>
  <conditionalFormatting sqref="H2:J2 H3:H4 J3:J8 I3:I474">
    <cfRule type="cellIs" dxfId="2" priority="3" operator="equal">
      <formula>"Wednesday, August 5, 2026"</formula>
    </cfRule>
  </conditionalFormatting>
  <conditionalFormatting sqref="I2:J2 J3:J8 I3:I474">
    <cfRule type="cellIs" dxfId="1" priority="1" operator="greaterThan">
      <formula>"Monday, August 10, 2026"</formula>
    </cfRule>
    <cfRule type="timePeriod" dxfId="0" priority="2" timePeriod="lastMonth">
      <formula>AND(MONTH(I2)=MONTH(EDATE(TODAY(),0-1)),YEAR(I2)=YEAR(EDATE(TODAY(),0-1)))</formula>
    </cfRule>
  </conditionalFormatting>
  <dataValidations count="1">
    <dataValidation type="list" allowBlank="1" showInputMessage="1" showErrorMessage="1" sqref="K1:L1" xr:uid="{D79C3DB8-3753-4C98-A497-0E406E55C008}">
      <formula1>"Normal,Electronics"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BC54BB-64FA-4163-8407-B117429A6D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Y N N</dc:creator>
  <cp:lastModifiedBy>L Y N N</cp:lastModifiedBy>
  <dcterms:created xsi:type="dcterms:W3CDTF">2026-05-06T01:27:41Z</dcterms:created>
  <dcterms:modified xsi:type="dcterms:W3CDTF">2026-08-14T18:32:37Z</dcterms:modified>
</cp:coreProperties>
</file>